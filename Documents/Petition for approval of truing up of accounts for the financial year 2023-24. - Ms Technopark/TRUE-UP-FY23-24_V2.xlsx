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AHUL RAJ\Local E\KSERC\KSERC 2023-24\Final\New folder\"/>
    </mc:Choice>
  </mc:AlternateContent>
  <xr:revisionPtr revIDLastSave="0" documentId="13_ncr:1_{151DF71F-A301-4BDA-9EC7-62B58859F6ED}" xr6:coauthVersionLast="47" xr6:coauthVersionMax="47" xr10:uidLastSave="{00000000-0000-0000-0000-000000000000}"/>
  <bookViews>
    <workbookView xWindow="-108" yWindow="-108" windowWidth="23256" windowHeight="12456" tabRatio="849" xr2:uid="{00000000-000D-0000-FFFF-FFFF00000000}"/>
  </bookViews>
  <sheets>
    <sheet name="D11-ARR-FY24" sheetId="94" r:id="rId1"/>
    <sheet name="D21-ERC-FY24" sheetId="95" r:id="rId2"/>
    <sheet name="D21-ERC-FY24-P1" sheetId="98" r:id="rId3"/>
    <sheet name="D21-ERC-FY24-P24" sheetId="99" r:id="rId4"/>
    <sheet name="D21-ERC-FY24-P4" sheetId="118" r:id="rId5"/>
    <sheet name="D21-ERC-FY24-P5" sheetId="100" r:id="rId6"/>
    <sheet name="D24-F24-NTI" sheetId="96" r:id="rId7"/>
    <sheet name="D27 FY24-GRANTS" sheetId="101" r:id="rId8"/>
    <sheet name="D31-FY24-PPURCHASE" sheetId="102" r:id="rId9"/>
    <sheet name="D34 FY24 O&amp;M" sheetId="103" r:id="rId10"/>
    <sheet name="D35 FY24 DEPRECIATION" sheetId="123" r:id="rId11"/>
    <sheet name="D35 FY24 DEPR" sheetId="104" state="hidden" r:id="rId12"/>
    <sheet name="D36 FY24 I&amp;F" sheetId="105" r:id="rId13"/>
    <sheet name="D37 FY24 IWC" sheetId="106" r:id="rId14"/>
    <sheet name="D38 FY24 ROI" sheetId="107" r:id="rId15"/>
    <sheet name="D41 FY24 CAPEX" sheetId="108" r:id="rId16"/>
    <sheet name="D42 FY24 FA" sheetId="109" r:id="rId17"/>
    <sheet name="D43 FY24 GEN" sheetId="110" r:id="rId18"/>
    <sheet name="D62 FY24 LOSS" sheetId="111" r:id="rId19"/>
    <sheet name="D61 FY24 PERF" sheetId="112" r:id="rId20"/>
    <sheet name="D71 FY24 SALES P1" sheetId="113" r:id="rId21"/>
    <sheet name="D71 FY24 SALES P2_3" sheetId="117" r:id="rId22"/>
    <sheet name="D71 FY24 SALES P4" sheetId="115" r:id="rId23"/>
    <sheet name="D71 FY24 SALES P5" sheetId="119" r:id="rId24"/>
    <sheet name="D73 FY24 Coll. Effy" sheetId="42" r:id="rId25"/>
    <sheet name="DP&amp;L FY24" sheetId="116" r:id="rId26"/>
    <sheet name="D BS FY24" sheetId="48" r:id="rId27"/>
    <sheet name="Cash Flow (AS)" sheetId="122" r:id="rId28"/>
  </sheets>
  <externalReferences>
    <externalReference r:id="rId29"/>
    <externalReference r:id="rId30"/>
  </externalReferences>
  <definedNames>
    <definedName name="_xlnm.Print_Area" localSheetId="26">'D BS FY24'!$B$2:$G$52</definedName>
    <definedName name="_xlnm.Print_Area" localSheetId="0">'D11-ARR-FY24'!$B$2:$G$24</definedName>
    <definedName name="_xlnm.Print_Area" localSheetId="1">'D21-ERC-FY24'!$B$2:$T$35</definedName>
    <definedName name="_xlnm.Print_Area" localSheetId="2">'D21-ERC-FY24-P1'!$B$2:$T$35</definedName>
    <definedName name="_xlnm.Print_Area" localSheetId="3">'D21-ERC-FY24-P24'!$B$2:$T$35</definedName>
    <definedName name="_xlnm.Print_Area" localSheetId="4">'D21-ERC-FY24-P4'!$B$2:$T$35</definedName>
    <definedName name="_xlnm.Print_Area" localSheetId="5">'D21-ERC-FY24-P5'!$B$2:$T$35</definedName>
    <definedName name="_xlnm.Print_Area" localSheetId="6">'D24-F24-NTI'!$B$2:$F$13</definedName>
    <definedName name="_xlnm.Print_Area" localSheetId="7">'D27 FY24-GRANTS'!$B$2:$F$14</definedName>
    <definedName name="_xlnm.Print_Area" localSheetId="8">'D31-FY24-PPURCHASE'!$B$2:$M$16</definedName>
    <definedName name="_xlnm.Print_Area" localSheetId="9">'D34 FY24 O&amp;M'!$B$2:$H$72</definedName>
    <definedName name="_xlnm.Print_Area" localSheetId="10">'D35 FY24 DEPRECIATION'!$B$1:$O$54</definedName>
    <definedName name="_xlnm.Print_Area" localSheetId="12">'D36 FY24 I&amp;F'!$B$2:$F$41</definedName>
    <definedName name="_xlnm.Print_Area" localSheetId="13">'D37 FY24 IWC'!$B$2:$G$15</definedName>
    <definedName name="_xlnm.Print_Area" localSheetId="14">'D38 FY24 ROI'!$B$2:$G$10</definedName>
    <definedName name="_xlnm.Print_Area" localSheetId="15">'D41 FY24 CAPEX'!$B$2:$M$11</definedName>
    <definedName name="_xlnm.Print_Area" localSheetId="16">'D42 FY24 FA'!$B$2:$F$13</definedName>
    <definedName name="_xlnm.Print_Area" localSheetId="17">'D43 FY24 GEN'!$B$2:$F$13</definedName>
    <definedName name="_xlnm.Print_Area" localSheetId="19">'D61 FY24 PERF'!$B$2:$G$26</definedName>
    <definedName name="_xlnm.Print_Area" localSheetId="18">'D62 FY24 LOSS'!$B$2:$H$14</definedName>
    <definedName name="_xlnm.Print_Area" localSheetId="20">'D71 FY24 SALES P1'!$B$2:$P$33</definedName>
    <definedName name="_xlnm.Print_Area" localSheetId="21">'D71 FY24 SALES P2_3'!$B$2:$P$26</definedName>
    <definedName name="_xlnm.Print_Area" localSheetId="22">'D71 FY24 SALES P4'!$B$2:$P$23</definedName>
    <definedName name="_xlnm.Print_Area" localSheetId="23">'D71 FY24 SALES P5'!$B$2:$P$21</definedName>
    <definedName name="_xlnm.Print_Area" localSheetId="24">'D73 FY24 Coll. Effy'!$B$2:$I$33</definedName>
    <definedName name="_xlnm.Print_Area" localSheetId="25">'DP&amp;L FY24'!$B$2:$G$34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50" i="104" l="1"/>
  <c r="T50" i="104"/>
  <c r="S50" i="104"/>
  <c r="Q49" i="104"/>
  <c r="R48" i="104"/>
  <c r="Q48" i="104"/>
  <c r="R47" i="104"/>
  <c r="Q47" i="104"/>
  <c r="R46" i="104"/>
  <c r="Q46" i="104"/>
  <c r="R45" i="104"/>
  <c r="Q45" i="104"/>
  <c r="R44" i="104"/>
  <c r="Q44" i="104"/>
  <c r="R43" i="104"/>
  <c r="Q43" i="104"/>
  <c r="R42" i="104"/>
  <c r="Q42" i="104"/>
  <c r="R41" i="104"/>
  <c r="R50" i="104" s="1"/>
  <c r="Q41" i="104"/>
  <c r="Q50" i="104" s="1"/>
  <c r="T35" i="104"/>
  <c r="R34" i="104"/>
  <c r="T33" i="104"/>
  <c r="W33" i="104" s="1"/>
  <c r="S33" i="104"/>
  <c r="V33" i="104" s="1"/>
  <c r="W32" i="104"/>
  <c r="T32" i="104"/>
  <c r="S32" i="104"/>
  <c r="V32" i="104" s="1"/>
  <c r="T31" i="104"/>
  <c r="W31" i="104" s="1"/>
  <c r="W47" i="104" s="1"/>
  <c r="S31" i="104"/>
  <c r="V31" i="104" s="1"/>
  <c r="V47" i="104" s="1"/>
  <c r="W30" i="104"/>
  <c r="T30" i="104"/>
  <c r="S30" i="104"/>
  <c r="V30" i="104" s="1"/>
  <c r="T29" i="104"/>
  <c r="W29" i="104" s="1"/>
  <c r="S29" i="104"/>
  <c r="V29" i="104" s="1"/>
  <c r="W28" i="104"/>
  <c r="W44" i="104" s="1"/>
  <c r="T28" i="104"/>
  <c r="S28" i="104"/>
  <c r="V28" i="104" s="1"/>
  <c r="U27" i="104"/>
  <c r="U34" i="104" s="1"/>
  <c r="T27" i="104"/>
  <c r="W27" i="104" s="1"/>
  <c r="W43" i="104" s="1"/>
  <c r="S27" i="104"/>
  <c r="V27" i="104" s="1"/>
  <c r="V26" i="104"/>
  <c r="T26" i="104"/>
  <c r="W26" i="104" s="1"/>
  <c r="W42" i="104" s="1"/>
  <c r="S26" i="104"/>
  <c r="T25" i="104"/>
  <c r="W25" i="104" s="1"/>
  <c r="S25" i="104"/>
  <c r="V25" i="104" s="1"/>
  <c r="U18" i="104"/>
  <c r="S18" i="104"/>
  <c r="R18" i="104"/>
  <c r="Q18" i="104"/>
  <c r="W17" i="104"/>
  <c r="V17" i="104"/>
  <c r="W16" i="104"/>
  <c r="W48" i="104" s="1"/>
  <c r="V16" i="104"/>
  <c r="W15" i="104"/>
  <c r="V15" i="104"/>
  <c r="W14" i="104"/>
  <c r="W46" i="104" s="1"/>
  <c r="V14" i="104"/>
  <c r="W13" i="104"/>
  <c r="W45" i="104" s="1"/>
  <c r="V13" i="104"/>
  <c r="V45" i="104" s="1"/>
  <c r="T13" i="104"/>
  <c r="T18" i="104" s="1"/>
  <c r="W12" i="104"/>
  <c r="V12" i="104"/>
  <c r="V44" i="104" s="1"/>
  <c r="W11" i="104"/>
  <c r="V11" i="104"/>
  <c r="W10" i="104"/>
  <c r="V10" i="104"/>
  <c r="V42" i="104" s="1"/>
  <c r="W9" i="104"/>
  <c r="W18" i="104" s="1"/>
  <c r="V9" i="104"/>
  <c r="V18" i="104" s="1"/>
  <c r="V48" i="104" l="1"/>
  <c r="W34" i="104"/>
  <c r="V49" i="104"/>
  <c r="V43" i="104"/>
  <c r="W49" i="104"/>
  <c r="V46" i="104"/>
  <c r="V41" i="104"/>
  <c r="V50" i="104" s="1"/>
  <c r="T34" i="104"/>
  <c r="T36" i="104" s="1"/>
  <c r="W41" i="104"/>
  <c r="W50" i="104" l="1"/>
  <c r="E27" i="104" l="1"/>
  <c r="AE12" i="104" l="1"/>
  <c r="AG12" i="104" s="1"/>
  <c r="AF2" i="104"/>
  <c r="AD18" i="104"/>
  <c r="AC18" i="104"/>
  <c r="AI17" i="104"/>
  <c r="AE16" i="104"/>
  <c r="AG16" i="104" s="1"/>
  <c r="AI16" i="104" s="1"/>
  <c r="AI15" i="104"/>
  <c r="AH14" i="104"/>
  <c r="AE14" i="104"/>
  <c r="AG14" i="104" s="1"/>
  <c r="AI14" i="104" s="1"/>
  <c r="AH13" i="104"/>
  <c r="AE13" i="104"/>
  <c r="AG13" i="104" s="1"/>
  <c r="AI13" i="104" s="1"/>
  <c r="AF12" i="104"/>
  <c r="AE11" i="104"/>
  <c r="AG11" i="104" s="1"/>
  <c r="AI11" i="104" s="1"/>
  <c r="AE10" i="104"/>
  <c r="X18" i="104" l="1"/>
  <c r="AI12" i="104"/>
  <c r="AE18" i="104"/>
  <c r="AE21" i="104" s="1"/>
  <c r="AG10" i="104"/>
  <c r="AG18" i="104" s="1"/>
  <c r="AF18" i="104"/>
  <c r="AH12" i="104"/>
  <c r="AH18" i="104" s="1"/>
  <c r="AG21" i="104" l="1"/>
  <c r="AI10" i="104"/>
  <c r="AI18" i="104" s="1"/>
  <c r="AI21" i="104" s="1"/>
  <c r="H39" i="104"/>
  <c r="K39" i="104" s="1"/>
  <c r="E28" i="104" l="1"/>
  <c r="E29" i="104"/>
  <c r="E30" i="104"/>
  <c r="E31" i="104"/>
  <c r="E32" i="104"/>
  <c r="E37" i="104"/>
  <c r="E33" i="104" l="1"/>
  <c r="I38" i="104" l="1"/>
  <c r="K37" i="104" l="1"/>
  <c r="K32" i="104"/>
  <c r="K29" i="104"/>
  <c r="K28" i="104"/>
  <c r="K27" i="104"/>
  <c r="K34" i="104"/>
  <c r="K31" i="104"/>
  <c r="K30" i="104"/>
  <c r="K17" i="104"/>
  <c r="K16" i="104"/>
  <c r="K15" i="104"/>
  <c r="K14" i="104"/>
  <c r="K13" i="104"/>
  <c r="K12" i="104"/>
  <c r="K11" i="104"/>
  <c r="K10" i="104"/>
  <c r="K9" i="104"/>
  <c r="I18" i="104"/>
  <c r="K33" i="104" l="1"/>
  <c r="J9" i="104" l="1"/>
  <c r="M12" i="104" l="1"/>
  <c r="M14" i="104"/>
  <c r="M16" i="104"/>
  <c r="M17" i="104"/>
  <c r="M10" i="104" l="1"/>
  <c r="M11" i="104"/>
  <c r="M15" i="104"/>
  <c r="M13" i="104"/>
  <c r="G18" i="104" l="1"/>
  <c r="J10" i="104"/>
  <c r="J11" i="104"/>
  <c r="J12" i="104"/>
  <c r="J13" i="104"/>
  <c r="J14" i="104"/>
  <c r="J15" i="104"/>
  <c r="J16" i="104"/>
  <c r="J17" i="104"/>
  <c r="E18" i="104"/>
  <c r="F18" i="104"/>
  <c r="H18" i="104"/>
  <c r="J27" i="104"/>
  <c r="K45" i="104"/>
  <c r="J28" i="104"/>
  <c r="J29" i="104"/>
  <c r="J30" i="104"/>
  <c r="J31" i="104"/>
  <c r="J32" i="104"/>
  <c r="K50" i="104"/>
  <c r="J33" i="104"/>
  <c r="J34" i="104"/>
  <c r="J37" i="104"/>
  <c r="F38" i="104"/>
  <c r="H38" i="104"/>
  <c r="H40" i="104" s="1"/>
  <c r="E45" i="104"/>
  <c r="F45" i="104"/>
  <c r="E46" i="104"/>
  <c r="F46" i="104"/>
  <c r="E47" i="104"/>
  <c r="F47" i="104"/>
  <c r="E48" i="104"/>
  <c r="F48" i="104"/>
  <c r="E49" i="104"/>
  <c r="F49" i="104"/>
  <c r="E50" i="104"/>
  <c r="F50" i="104"/>
  <c r="E51" i="104"/>
  <c r="F51" i="104"/>
  <c r="E52" i="104"/>
  <c r="F52" i="104"/>
  <c r="E53" i="104"/>
  <c r="F53" i="104"/>
  <c r="G54" i="104"/>
  <c r="H54" i="104"/>
  <c r="K52" i="104" l="1"/>
  <c r="J52" i="104"/>
  <c r="K53" i="104"/>
  <c r="J50" i="104"/>
  <c r="K48" i="104"/>
  <c r="J48" i="104"/>
  <c r="K38" i="104"/>
  <c r="K40" i="104" s="1"/>
  <c r="E54" i="104"/>
  <c r="F54" i="104"/>
  <c r="J46" i="104"/>
  <c r="J18" i="104"/>
  <c r="K51" i="104"/>
  <c r="K47" i="104"/>
  <c r="J53" i="104"/>
  <c r="J51" i="104"/>
  <c r="J49" i="104"/>
  <c r="J47" i="104"/>
  <c r="J45" i="104"/>
  <c r="K46" i="104"/>
  <c r="M18" i="104"/>
  <c r="K18" i="104"/>
  <c r="K49" i="104"/>
  <c r="K54" i="104" l="1"/>
  <c r="J54" i="10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7" authorId="0" shapeId="0" xr:uid="{AE2C5DC7-3277-409A-BB6F-CA5E3237470A}">
      <text>
        <r>
          <rPr>
            <sz val="11"/>
            <color theme="1"/>
            <rFont val="Calibri"/>
            <family val="2"/>
            <scheme val="minor"/>
          </rPr>
          <t>======
ID#AAABZ_bPYgM
Lenovo    (2024-12-09 14:59:52)
Depreciation for asset withdrawn: 0.14 lakhs</t>
        </r>
      </text>
    </comment>
    <comment ref="J28" authorId="0" shapeId="0" xr:uid="{179CE235-98E4-48DE-936A-C47CCDAF03A1}">
      <text>
        <r>
          <rPr>
            <sz val="11"/>
            <color theme="1"/>
            <rFont val="Calibri"/>
            <family val="2"/>
            <scheme val="minor"/>
          </rPr>
          <t>======
ID#AAABZ_bPYgM
Lenovo    (2024-12-09 14:59:52)
Depreciation for asset withdrawn: 0.14 lakhs</t>
        </r>
      </text>
    </comment>
    <comment ref="J29" authorId="0" shapeId="0" xr:uid="{E3857F48-8156-401B-A338-00948975BB33}">
      <text>
        <r>
          <rPr>
            <sz val="11"/>
            <color theme="1"/>
            <rFont val="Calibri"/>
            <family val="2"/>
            <scheme val="minor"/>
          </rPr>
          <t>======
ID#AAABZ_bPYgM
Lenovo    (2024-12-09 14:59:52)
Depreciation for asset withdrawn: 0.14 lakhs</t>
        </r>
      </text>
    </comment>
    <comment ref="J30" authorId="0" shapeId="0" xr:uid="{C0A335E8-702B-4E00-B0D3-7C84537EE01A}">
      <text>
        <r>
          <rPr>
            <sz val="11"/>
            <color theme="1"/>
            <rFont val="Calibri"/>
            <family val="2"/>
            <scheme val="minor"/>
          </rPr>
          <t>======
ID#AAABZ_bPYgM
Lenovo    (2024-12-09 14:59:52)
Depreciation for asset withdrawn: 0.14 lakhs</t>
        </r>
      </text>
    </comment>
    <comment ref="J31" authorId="0" shapeId="0" xr:uid="{45365E80-8DC8-4F60-99C8-8F43F776D3B6}">
      <text>
        <r>
          <rPr>
            <sz val="11"/>
            <color theme="1"/>
            <rFont val="Calibri"/>
            <family val="2"/>
            <scheme val="minor"/>
          </rPr>
          <t>======
ID#AAABZ_bPYgM
Lenovo    (2024-12-09 14:59:52)
Depreciation for asset withdrawn: 0.14 lakhs</t>
        </r>
      </text>
    </comment>
    <comment ref="J32" authorId="0" shapeId="0" xr:uid="{B86B9929-E3B9-4726-9E6B-A56B848BEEE2}">
      <text>
        <r>
          <rPr>
            <sz val="11"/>
            <color theme="1"/>
            <rFont val="Calibri"/>
            <family val="2"/>
            <scheme val="minor"/>
          </rPr>
          <t>======
ID#AAABZ_bPYgM
Lenovo    (2024-12-09 14:59:52)
Depreciation for asset withdrawn: 0.14 lakhs</t>
        </r>
      </text>
    </comment>
    <comment ref="J33" authorId="0" shapeId="0" xr:uid="{FDC1019C-5C00-4301-8F23-635B2B5BE51B}">
      <text>
        <r>
          <rPr>
            <sz val="11"/>
            <color theme="1"/>
            <rFont val="Calibri"/>
            <family val="2"/>
            <scheme val="minor"/>
          </rPr>
          <t>======
ID#AAABZ_bPYgM
Lenovo    (2024-12-09 14:59:52)
Depreciation for asset withdrawn: 0.14 lakhs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2" authorId="0" shapeId="0" xr:uid="{00000000-0006-0000-0A00-000001000000}">
      <text>
        <r>
          <rPr>
            <b/>
            <sz val="12"/>
            <color indexed="81"/>
            <rFont val="Tahoma"/>
            <family val="2"/>
          </rPr>
          <t xml:space="preserve">
This is based on Technopark Account.
Differs from Commission TU Order FY 20.</t>
        </r>
        <r>
          <rPr>
            <sz val="12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<sst xmlns="http://schemas.openxmlformats.org/spreadsheetml/2006/main" count="1347" uniqueCount="586">
  <si>
    <t>S.No.</t>
  </si>
  <si>
    <t>Particulars</t>
  </si>
  <si>
    <t>Remarks</t>
  </si>
  <si>
    <t>Audited</t>
  </si>
  <si>
    <t>Cost of own power generation/power purchase</t>
  </si>
  <si>
    <t>Operation &amp; Maintenance Expenses</t>
  </si>
  <si>
    <t>Employee Expenses</t>
  </si>
  <si>
    <t>Administration &amp; General Expenses</t>
  </si>
  <si>
    <t>Repair &amp; Maintenance Expenses</t>
  </si>
  <si>
    <t>Depreciation</t>
  </si>
  <si>
    <t>Interest and finance charges on long term loans</t>
  </si>
  <si>
    <t xml:space="preserve">Interest on Working Capital </t>
  </si>
  <si>
    <t>Total Revenue Expenditure</t>
  </si>
  <si>
    <t>Return on Equity /Net Fixed Assets</t>
  </si>
  <si>
    <t>Tax on ROE</t>
  </si>
  <si>
    <t>Aggregate Revenue Requirement (13+15)</t>
  </si>
  <si>
    <t>Less: Non Tariff Income</t>
  </si>
  <si>
    <t>Aggregate Revenue Requirement from Retail Tariff</t>
  </si>
  <si>
    <t>Revenue from Sale of Power</t>
  </si>
  <si>
    <t>Number of consumers</t>
  </si>
  <si>
    <t>Number of consumers billed</t>
  </si>
  <si>
    <t>% of total Unit sold</t>
  </si>
  <si>
    <t>Total</t>
  </si>
  <si>
    <t>Average rate/kwh</t>
  </si>
  <si>
    <t>Electricity Duty Recovery</t>
  </si>
  <si>
    <t xml:space="preserve">Gross Revenue From Sale of Power </t>
  </si>
  <si>
    <t>S. No.</t>
  </si>
  <si>
    <t>Miscellaneous receipts</t>
  </si>
  <si>
    <t>Commission for collection of electricity duty</t>
  </si>
  <si>
    <t>Revenue from late payment surcharge</t>
  </si>
  <si>
    <t>Meter/metering equipment/service line rentals</t>
  </si>
  <si>
    <t xml:space="preserve">Total </t>
  </si>
  <si>
    <t>Any other contribution by consumers  under any scheme.</t>
  </si>
  <si>
    <t xml:space="preserve">Receipts from appropriate Government under any scheme as Grants </t>
  </si>
  <si>
    <t>Any Other item(to be specified)</t>
  </si>
  <si>
    <t>TOTAL</t>
  </si>
  <si>
    <t>Reference</t>
  </si>
  <si>
    <t>Basic Salary</t>
  </si>
  <si>
    <t>Dearness Allowance (DA)</t>
  </si>
  <si>
    <t>House Rent Allowance</t>
  </si>
  <si>
    <t>Staff welfare expenses</t>
  </si>
  <si>
    <t xml:space="preserve">Gross Employee Expenses </t>
  </si>
  <si>
    <t>Less: Expenses Capitalised</t>
  </si>
  <si>
    <t xml:space="preserve">Net Employee Expenses </t>
  </si>
  <si>
    <t>Insurance</t>
  </si>
  <si>
    <t>Telephone &amp; Postage, etc.</t>
  </si>
  <si>
    <t>Electricity charges</t>
  </si>
  <si>
    <t xml:space="preserve">Bank Charges  </t>
  </si>
  <si>
    <t>Gross A&amp;G Expenses</t>
  </si>
  <si>
    <t>Ele. Duty u/s 3(I), KED Act</t>
  </si>
  <si>
    <t xml:space="preserve">Net A&amp;G Expenses </t>
  </si>
  <si>
    <t>Gross R&amp;M Expenses</t>
  </si>
  <si>
    <t xml:space="preserve">Net R&amp;M Expenses </t>
  </si>
  <si>
    <t>Street Lighting</t>
  </si>
  <si>
    <t>HT- IV  Commercial</t>
  </si>
  <si>
    <t>Sub Total</t>
  </si>
  <si>
    <t>Gross fixed assets</t>
  </si>
  <si>
    <t>Cumulative at the end of the year</t>
  </si>
  <si>
    <t>Other Civil works</t>
  </si>
  <si>
    <t>Meters</t>
  </si>
  <si>
    <t>IT Equipments</t>
  </si>
  <si>
    <t xml:space="preserve">Particulars (specify items) </t>
  </si>
  <si>
    <t>i.</t>
  </si>
  <si>
    <t>Gross Loan -Opening</t>
  </si>
  <si>
    <t>ii.</t>
  </si>
  <si>
    <t>Cumulative repayments of Loans upto previous year</t>
  </si>
  <si>
    <t>iii.</t>
  </si>
  <si>
    <t>Net loan-Opening</t>
  </si>
  <si>
    <t>iv.</t>
  </si>
  <si>
    <t>Add: Drawal(s) during the Year</t>
  </si>
  <si>
    <t>v.</t>
  </si>
  <si>
    <t xml:space="preserve">Less: Repayment (s) of Loans during the year </t>
  </si>
  <si>
    <t>vi</t>
  </si>
  <si>
    <t xml:space="preserve">Net loan - Closing </t>
  </si>
  <si>
    <t>vii</t>
  </si>
  <si>
    <t xml:space="preserve">Average Net Loan </t>
  </si>
  <si>
    <t>viii</t>
  </si>
  <si>
    <t xml:space="preserve">Rate of Interest on Loan on annual basis </t>
  </si>
  <si>
    <t>ix</t>
  </si>
  <si>
    <t>Interest on loan</t>
  </si>
  <si>
    <t>x</t>
  </si>
  <si>
    <t>Loan repayment effective from (date to be indicated)</t>
  </si>
  <si>
    <t>Total Loan</t>
  </si>
  <si>
    <t xml:space="preserve">Interest on Loan </t>
  </si>
  <si>
    <t>Weighted average Rate of Interest on Loans</t>
  </si>
  <si>
    <t>Sl.No.</t>
  </si>
  <si>
    <t>Interest on Working Capital (actual)</t>
  </si>
  <si>
    <t>Ref.</t>
  </si>
  <si>
    <t>Capitalisation</t>
  </si>
  <si>
    <t>Net Fixed Assets net of Consumer Contribution &amp;Grants (at the beginning of the year)</t>
  </si>
  <si>
    <t xml:space="preserve">Rate of return </t>
  </si>
  <si>
    <t>Total return on net fixed assets</t>
  </si>
  <si>
    <t>Description of the  project/Scheme</t>
  </si>
  <si>
    <t>Capital Expenditure</t>
  </si>
  <si>
    <t>Capital Work in Progress</t>
  </si>
  <si>
    <t>Remark</t>
  </si>
  <si>
    <t>Exp. During the year</t>
  </si>
  <si>
    <t>Interest During Const.</t>
  </si>
  <si>
    <t>Transfer to fixed Assets</t>
  </si>
  <si>
    <t>Additions</t>
  </si>
  <si>
    <t>Adjustments</t>
  </si>
  <si>
    <t>Closing balance</t>
  </si>
  <si>
    <t>Asset Description</t>
  </si>
  <si>
    <t>Asset Code</t>
  </si>
  <si>
    <t>Date of commissioning</t>
  </si>
  <si>
    <t>Less</t>
  </si>
  <si>
    <t>Net chargable to revenue</t>
  </si>
  <si>
    <t>Ref</t>
  </si>
  <si>
    <t>Distribution Losses, (%)</t>
  </si>
  <si>
    <t>Collection Efficiency, (%)</t>
  </si>
  <si>
    <t>(a)</t>
  </si>
  <si>
    <t>(b)</t>
  </si>
  <si>
    <t>(c)</t>
  </si>
  <si>
    <t>4 (a)</t>
  </si>
  <si>
    <t>Percentage of consumers billed</t>
  </si>
  <si>
    <t>4 (b)</t>
  </si>
  <si>
    <t>Revenue realisation , (Rs Cr)</t>
  </si>
  <si>
    <t>Stopped Meters %</t>
  </si>
  <si>
    <t>6 (a)</t>
  </si>
  <si>
    <t>Defective meters/metering arrangement%</t>
  </si>
  <si>
    <t>6 (b)</t>
  </si>
  <si>
    <t>Replacement of Defective meters, %</t>
  </si>
  <si>
    <t>Supply availability %</t>
  </si>
  <si>
    <t>(1)</t>
  </si>
  <si>
    <t xml:space="preserve">Base Load supply availability </t>
  </si>
  <si>
    <t>Actual contracted Base Load supply in MW</t>
  </si>
  <si>
    <t>Base Load in MW</t>
  </si>
  <si>
    <t>Base Load supply availability (%) (c=a/b)</t>
  </si>
  <si>
    <t>(2)</t>
  </si>
  <si>
    <t xml:space="preserve">Peak Load supply availability </t>
  </si>
  <si>
    <t>(d)</t>
  </si>
  <si>
    <t>(e)</t>
  </si>
  <si>
    <t>Peak load in MW</t>
  </si>
  <si>
    <t>(f)</t>
  </si>
  <si>
    <t>Supply availability %(0.75*c + 0.25*f)</t>
  </si>
  <si>
    <t xml:space="preserve">Transformer failure rate </t>
  </si>
  <si>
    <t>a.</t>
  </si>
  <si>
    <t>Distribution transformers (%)</t>
  </si>
  <si>
    <t>b.</t>
  </si>
  <si>
    <t>Power transformers (%)</t>
  </si>
  <si>
    <t>Energy Sales</t>
  </si>
  <si>
    <t>Distribution Loss</t>
  </si>
  <si>
    <t>Overall Distribution Loss</t>
  </si>
  <si>
    <t>Consumer Category &amp; Consumption Slab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</si>
  <si>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</si>
  <si>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</si>
  <si>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</si>
  <si>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</si>
  <si>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</si>
  <si>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</si>
  <si>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</si>
  <si>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</si>
  <si>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</si>
  <si>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</si>
  <si>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</si>
  <si>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</si>
  <si>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Approved</t>
  </si>
  <si>
    <t>Total (a+b+c)</t>
  </si>
  <si>
    <t>II. EXPENDITURE</t>
  </si>
  <si>
    <t xml:space="preserve">  -  Interest &amp; Finance Charges</t>
  </si>
  <si>
    <t xml:space="preserve">  -  Other Expenses</t>
  </si>
  <si>
    <t>Total Expenditure (f-g+h+i+j+k)</t>
  </si>
  <si>
    <t xml:space="preserve">    Sources of Funds:</t>
  </si>
  <si>
    <t xml:space="preserve">        Reserves &amp; Surplus </t>
  </si>
  <si>
    <t xml:space="preserve">        Total (A)</t>
  </si>
  <si>
    <t xml:space="preserve">      Loan from others :</t>
  </si>
  <si>
    <t xml:space="preserve">                                                     -Secured</t>
  </si>
  <si>
    <t xml:space="preserve">                                                    -Unsecured</t>
  </si>
  <si>
    <t xml:space="preserve">      Total (B)</t>
  </si>
  <si>
    <t>Provident Fund</t>
  </si>
  <si>
    <t>Terminal Benefit Fund</t>
  </si>
  <si>
    <t xml:space="preserve"> Borrowings for working capital</t>
  </si>
  <si>
    <t>Grand total of sources of funds (A+B+C)</t>
  </si>
  <si>
    <t>Application of Funds:</t>
  </si>
  <si>
    <t xml:space="preserve">    a) Gross fixed assets</t>
  </si>
  <si>
    <t xml:space="preserve">    b) Less accumulated depreciation</t>
  </si>
  <si>
    <t xml:space="preserve">    c) Net Fixed assets( (a)-(b) )</t>
  </si>
  <si>
    <t xml:space="preserve">   d) Capital works in progress</t>
  </si>
  <si>
    <t xml:space="preserve">   e) Assets not in use</t>
  </si>
  <si>
    <t xml:space="preserve">    f) Deferred costs</t>
  </si>
  <si>
    <t xml:space="preserve">    g) Intangible assets</t>
  </si>
  <si>
    <t xml:space="preserve">    h) Investments</t>
  </si>
  <si>
    <t xml:space="preserve">        Total (c) +(d)+(e)+(f)+(g)+(h)</t>
  </si>
  <si>
    <t>B)Subsidy receivable from Government</t>
  </si>
  <si>
    <t>Contribution receivable from State Government towards pension liability</t>
  </si>
  <si>
    <t>(1) Current assets, loans and advances</t>
  </si>
  <si>
    <t>a) Inventories*</t>
  </si>
  <si>
    <t>b) Receivables against Sale of Power</t>
  </si>
  <si>
    <t>c) Cash &amp; bank balances</t>
  </si>
  <si>
    <t xml:space="preserve">  Total (C) (1)</t>
  </si>
  <si>
    <t>(2) Current liabilities &amp; provisions</t>
  </si>
  <si>
    <t>a) Security Deposits from Consumers</t>
  </si>
  <si>
    <t>c) Payments due on Cap. liabilities</t>
  </si>
  <si>
    <t>d) Other current liabilities</t>
  </si>
  <si>
    <t xml:space="preserve">  Total (C) (2)</t>
  </si>
  <si>
    <t>Net Current Assets  (C(1)) - (C(2))</t>
  </si>
  <si>
    <t>Grand Total of Application of funds (A)+(B)+(C)</t>
  </si>
  <si>
    <t>I</t>
  </si>
  <si>
    <t>V</t>
  </si>
  <si>
    <t>VI</t>
  </si>
  <si>
    <t>VII</t>
  </si>
  <si>
    <t>VIII</t>
  </si>
  <si>
    <t>KSEB</t>
  </si>
  <si>
    <t>Name of Distribution Business/Licensee      : TECHNOPARK</t>
  </si>
  <si>
    <t>Licensed Area of Supply   : Technopark premises at TVM &amp; Kollam</t>
  </si>
  <si>
    <t>(Rs Lakhs)</t>
  </si>
  <si>
    <t>Peak Load Supply Availability (%) (f=d/e)</t>
  </si>
  <si>
    <t>(kWh)</t>
  </si>
  <si>
    <t>Units Sold (Lakhs Units)</t>
  </si>
  <si>
    <t>Self consumption</t>
  </si>
  <si>
    <t>Name of Distribution Business/Licensee  : TECHNOPARK</t>
  </si>
  <si>
    <t>Energy Purchased in Lakhs Units</t>
  </si>
  <si>
    <t>NA</t>
  </si>
  <si>
    <t>Other Allowances ( CCA)</t>
  </si>
  <si>
    <t xml:space="preserve">Self Consumption </t>
  </si>
  <si>
    <t>Licensed Area of Supply   : Technopark Campus</t>
  </si>
  <si>
    <t>Name of Distribution Business/Licensee  : Electronics Technology Parks - Kerala (Technopark)</t>
  </si>
  <si>
    <t>Power factor incentive</t>
  </si>
  <si>
    <t xml:space="preserve">Power factor penalty
</t>
  </si>
  <si>
    <t xml:space="preserve">Name of Distribution Business/Licensee   : Electronics Technology Parks - Kerala (Technopark)    </t>
  </si>
  <si>
    <t>Actual Contracted Peak Load Supply in MW</t>
  </si>
  <si>
    <t>Demand
 /Fixed  charges
Rs</t>
  </si>
  <si>
    <t>Energy Charges 
Rs</t>
  </si>
  <si>
    <t>Grant</t>
  </si>
  <si>
    <t>Own Source</t>
  </si>
  <si>
    <t>Dec'2005</t>
  </si>
  <si>
    <t>LT – IV B IT/ITES below 10kW</t>
  </si>
  <si>
    <t>LT – IV B IT/ITES above 10kW up to 20kW</t>
  </si>
  <si>
    <t>LT – IV B IT/ITES above 20kW</t>
  </si>
  <si>
    <t>LT - VI (A) General</t>
  </si>
  <si>
    <t>LT VI (B) General</t>
  </si>
  <si>
    <t>LT VI ( c ) General (1ph or 3 ph)</t>
  </si>
  <si>
    <t>LT VI (F) General (1 ph)</t>
  </si>
  <si>
    <t>LT VII (A) Commercial  (1-Ph)</t>
  </si>
  <si>
    <t>LT VI (F) General (3 ph)</t>
  </si>
  <si>
    <t>LT VII (A) Commercial  (3-Ph)</t>
  </si>
  <si>
    <t xml:space="preserve">LT VII (B) Commercial </t>
  </si>
  <si>
    <t>LT IV A Industrial below 10 KW</t>
  </si>
  <si>
    <t>LT IV A Industrial above 10 KW below 20 KW</t>
  </si>
  <si>
    <t>LT IV A Industrial above 20 KW</t>
  </si>
  <si>
    <t>LT VIII (B) Metered Street Lights</t>
  </si>
  <si>
    <t>b) Borrowings for working capital</t>
  </si>
  <si>
    <t xml:space="preserve">LT Distribution system </t>
  </si>
  <si>
    <t>Chargable to Capital</t>
  </si>
  <si>
    <t>Opening</t>
  </si>
  <si>
    <t>Demand</t>
  </si>
  <si>
    <t>Closing</t>
  </si>
  <si>
    <t>Collection</t>
  </si>
  <si>
    <t>Collection %</t>
  </si>
  <si>
    <t>6 (3 + 4 - 5)</t>
  </si>
  <si>
    <t>7 ((6 / 4)x100)</t>
  </si>
  <si>
    <t>HT – I Industrial</t>
  </si>
  <si>
    <t>HT II Non Industrial /Non Commercial</t>
  </si>
  <si>
    <t xml:space="preserve">HT IV Commercial </t>
  </si>
  <si>
    <t>LT IV (A) Industry above10kW up to 20 Kw</t>
  </si>
  <si>
    <t>LT IV (A) Industry above 20kW</t>
  </si>
  <si>
    <t>LT – IV B IT &amp; ITES (Of and below 10kW)</t>
  </si>
  <si>
    <t>LT – IV B IT &amp; ITES (above 10kW up to 20kW)</t>
  </si>
  <si>
    <t>LT – IV B IT &amp; ITES (above 20kW)</t>
  </si>
  <si>
    <t>LT VI GENERAL (A)</t>
  </si>
  <si>
    <t>LT VI GENERAL (B)</t>
  </si>
  <si>
    <t>LT VI C GENERAL ((1-Ph &amp; 3-Ph)</t>
  </si>
  <si>
    <t>LT VI F GENERAL ((3-Ph )</t>
  </si>
  <si>
    <t>LT - VII (B ) Commercial</t>
  </si>
  <si>
    <t>HT Total</t>
  </si>
  <si>
    <t>LT Total</t>
  </si>
  <si>
    <t>Others Total</t>
  </si>
  <si>
    <t>Grand Total</t>
  </si>
  <si>
    <t>Name of Distribution Business/Licensee    : Technopark</t>
  </si>
  <si>
    <t>Name of Distribution Business/Licensee : Electronics Technology Parks - Kerala (Technopark)</t>
  </si>
  <si>
    <t>(Rs.)</t>
  </si>
  <si>
    <t>CASH FLOW STATEMENT AS PER " AS 3 CASH FLOW STATEMENT"</t>
  </si>
  <si>
    <t>PARTICULARS</t>
  </si>
  <si>
    <t>AMOUNT</t>
  </si>
  <si>
    <t>Cash flow from Operating activities</t>
  </si>
  <si>
    <t>Net Profit before taxation and extraordinary item</t>
  </si>
  <si>
    <t>Non Cash and Non operating activities</t>
  </si>
  <si>
    <t>Depreciation and amortization</t>
  </si>
  <si>
    <t>Operating profit before working capital changes</t>
  </si>
  <si>
    <t>Cash flow before extraordinary items</t>
  </si>
  <si>
    <t>Cash generated from Operating Activities</t>
  </si>
  <si>
    <t>Cash flow from Investing Activities</t>
  </si>
  <si>
    <t>Net cash used in Investing Activities</t>
  </si>
  <si>
    <t>Cash flow from Financing Activities</t>
  </si>
  <si>
    <t>South Indian Bank (110 K V SS)</t>
  </si>
  <si>
    <t xml:space="preserve"> Cash used in Financing Activities</t>
  </si>
  <si>
    <t>Net Increase in Cash and Cash Equivalents</t>
  </si>
  <si>
    <t>Cash and Cash Equivalents at the beginning of the period</t>
  </si>
  <si>
    <t>Cash and Cash Equivalents at the end of the period</t>
  </si>
  <si>
    <t>kVA</t>
  </si>
  <si>
    <t>Loan 1 (Canara Bank) for Tejaswini building</t>
  </si>
  <si>
    <t>Loan 2 (South Indian Bank &amp; Federal Bank) for TP PH-3</t>
  </si>
  <si>
    <t xml:space="preserve">        Governmet Grants</t>
  </si>
  <si>
    <t>LT IV (A) Industry (Of and below 10kW)</t>
  </si>
  <si>
    <t>LT VI (G) General</t>
  </si>
  <si>
    <t>Technopark - Techno Power Account</t>
  </si>
  <si>
    <t>Park Center, Technopark Campus, Trivandrum</t>
  </si>
  <si>
    <t>LT – VIII (B) METERED STREET LIGHTS</t>
  </si>
  <si>
    <t>Interest on consumer security deposits etc</t>
  </si>
  <si>
    <t>Revenue Surplus / (Deficit)</t>
  </si>
  <si>
    <t>No.</t>
  </si>
  <si>
    <t>Billing Demand</t>
  </si>
  <si>
    <t>Excess demand charges</t>
  </si>
  <si>
    <t xml:space="preserve">Grand Total </t>
  </si>
  <si>
    <t xml:space="preserve">Avg. realisation per KWh </t>
  </si>
  <si>
    <t>Sub Total (LT)</t>
  </si>
  <si>
    <t>Sub Total (HT)</t>
  </si>
  <si>
    <t>Net Revenue from Sale of Power</t>
  </si>
  <si>
    <t>HT -II (A) General</t>
  </si>
  <si>
    <t>HT -I (B)  IT &amp; IT Services</t>
  </si>
  <si>
    <t>Rs Lakhs</t>
  </si>
  <si>
    <t>Revenue from Charges / Sale of power</t>
  </si>
  <si>
    <t>Interest on investments, FD, Call Deposits &amp; bank balances</t>
  </si>
  <si>
    <t>Licensed Area of Supply :  : Technopark Premises at TVM &amp; Kollam          (Rs. in Lakhs)</t>
  </si>
  <si>
    <t>Demand/ fixed charges @ Rs/kVA or Rs pm*</t>
  </si>
  <si>
    <t>Energy Charges *
Rs /kWh</t>
  </si>
  <si>
    <t>Form  D 2.7 : Consumer Contribution, Capital Subsidy and Grant</t>
  </si>
  <si>
    <t>Licensed Area of Supply   : Technopark premises at TVM &amp; Kollam             (Rs. in lakhs)</t>
  </si>
  <si>
    <t>Campus</t>
  </si>
  <si>
    <t xml:space="preserve">Source </t>
  </si>
  <si>
    <t>Substation Capacity</t>
  </si>
  <si>
    <t xml:space="preserve">Energy received </t>
  </si>
  <si>
    <t xml:space="preserve">Total Fixed Charges </t>
  </si>
  <si>
    <t>Total Variable Charges</t>
  </si>
  <si>
    <t>Incentive</t>
  </si>
  <si>
    <t>Any Other Charges</t>
  </si>
  <si>
    <t xml:space="preserve">Total Cost </t>
  </si>
  <si>
    <t>Avg cost</t>
  </si>
  <si>
    <t>Lakh Units</t>
  </si>
  <si>
    <t>Rs/kWh</t>
  </si>
  <si>
    <t>Phase-1</t>
  </si>
  <si>
    <t>Phase -2&amp;3</t>
  </si>
  <si>
    <t>Phase -5 Kollam (2)</t>
  </si>
  <si>
    <t>Approved Values</t>
  </si>
  <si>
    <t>Prev Year</t>
  </si>
  <si>
    <t xml:space="preserve">Name of Distribution Licensee   : Electronics Technology Parks - Kerala (Technopark)    </t>
  </si>
  <si>
    <t xml:space="preserve">Licensed Area of Supply   : T'puram, Kollam Campuses </t>
  </si>
  <si>
    <t xml:space="preserve"> No.</t>
  </si>
  <si>
    <t>Employee Expenses (Rs Lakhs)</t>
  </si>
  <si>
    <t>R&amp;M Expenses (Rs Lakhs)</t>
  </si>
  <si>
    <t>A&amp;G Expenses  (Rs Lakhs)</t>
  </si>
  <si>
    <t>O&amp;M Expense (Total)</t>
  </si>
  <si>
    <t>Detiails:</t>
  </si>
  <si>
    <t>Form D 3.4(a) : Employee Expenses</t>
  </si>
  <si>
    <t>Licensed Area of Supply   : T'puram, Kollam Campuses                                     (in Rs)</t>
  </si>
  <si>
    <t>Form D 3.4(b) : Administrative &amp; General Expenses</t>
  </si>
  <si>
    <t>Form D 3.4(c) : Repair &amp; Maintenance Expenses</t>
  </si>
  <si>
    <t>Licensed Area of Supply   : Technopark premises at TVM &amp; Kollam                                                         (in Rs)</t>
  </si>
  <si>
    <t>Licensed Area of Supply   : T'puram, Kollam Campuses</t>
  </si>
  <si>
    <t>Asset Group</t>
  </si>
  <si>
    <t xml:space="preserve">Additions </t>
  </si>
  <si>
    <t>Closing Value</t>
  </si>
  <si>
    <t>HV Distribution lines</t>
  </si>
  <si>
    <t>HV Substation Transformers</t>
  </si>
  <si>
    <t>LT : Distribution lines</t>
  </si>
  <si>
    <t>LT : Sub-station equipments</t>
  </si>
  <si>
    <t xml:space="preserve">LT : Others </t>
  </si>
  <si>
    <t>Depreciation %</t>
  </si>
  <si>
    <t xml:space="preserve">Depreciation </t>
  </si>
  <si>
    <t>Opening Value (Cumulative)</t>
  </si>
  <si>
    <t xml:space="preserve">Net Fixed Assets </t>
  </si>
  <si>
    <t>Year Opening</t>
  </si>
  <si>
    <t>At Year End</t>
  </si>
  <si>
    <t>IT Equipment</t>
  </si>
  <si>
    <t xml:space="preserve">Licensed Area of Supply   : Technopark premises at TVM &amp; Kollam                                 (Rs. In Lakhs) </t>
  </si>
  <si>
    <t>Loan started on  27-07-2015</t>
  </si>
  <si>
    <t>O&amp;M expenses  (1 month)</t>
  </si>
  <si>
    <t>Maintenance Spares (1 month)</t>
  </si>
  <si>
    <t>Receivables : 2 months ERC</t>
  </si>
  <si>
    <t>Less :Security deposits in Cash</t>
  </si>
  <si>
    <t xml:space="preserve">Less : Cost of Power Purchase </t>
  </si>
  <si>
    <t xml:space="preserve">Interest Rate </t>
  </si>
  <si>
    <t>Nil*</t>
  </si>
  <si>
    <t>Total Working Capital requirement</t>
  </si>
  <si>
    <t>Name of DistributionLicensee : Electronics Technology Parks - Kerala (Technopark)</t>
  </si>
  <si>
    <t>Licensed Area of Supply   : Technopark premises at TVM &amp; Kollam        (Rs Lakhs)</t>
  </si>
  <si>
    <t>Licensed Area of Supply   : Technopark premises at TVM &amp; Kollam (Rs Lakhs)</t>
  </si>
  <si>
    <t>HV Sub-station equipments</t>
  </si>
  <si>
    <t xml:space="preserve">LT Others </t>
  </si>
  <si>
    <t>Gross Asset</t>
  </si>
  <si>
    <t>Licensed Area of Supply   : Technopark premises at TVM &amp; Kollam             (Rs Lakhs)</t>
  </si>
  <si>
    <t>Asset Additions</t>
  </si>
  <si>
    <t>Name of Distribution Licensee : Electronics Technology Parks - Kerala (Technopark)</t>
  </si>
  <si>
    <t>Form D 4.3 : General (Other debits, write offs or any other items)</t>
  </si>
  <si>
    <t xml:space="preserve">Licensed Area of Supply   : Technopark premises at TVM &amp; Kollam (Rs. In Lakhs) </t>
  </si>
  <si>
    <t xml:space="preserve">No. </t>
  </si>
  <si>
    <t>Phase -1</t>
  </si>
  <si>
    <t>Phase - 2&amp;3</t>
  </si>
  <si>
    <t>Phase-5 Kollam</t>
  </si>
  <si>
    <t xml:space="preserve">Approved </t>
  </si>
  <si>
    <t>Percentage</t>
  </si>
  <si>
    <t>Form D 6.1 : Improvement in performance</t>
  </si>
  <si>
    <t>Licensed Area of Supply  : Technopark premises at TVM &amp; Kollam</t>
  </si>
  <si>
    <t>HT Category Total</t>
  </si>
  <si>
    <t>LT  Category Total</t>
  </si>
  <si>
    <t>Grand Total consumption (Lakh Units)</t>
  </si>
  <si>
    <t>Licensed Area of Supply : Phase -1 Kazhakkuttam Campus</t>
  </si>
  <si>
    <t>II</t>
  </si>
  <si>
    <t>(i)</t>
  </si>
  <si>
    <t xml:space="preserve">(c) </t>
  </si>
  <si>
    <t>(g)</t>
  </si>
  <si>
    <t>(h)</t>
  </si>
  <si>
    <t xml:space="preserve"> INCOME</t>
  </si>
  <si>
    <t>(j)</t>
  </si>
  <si>
    <t>(k)</t>
  </si>
  <si>
    <t>(l)</t>
  </si>
  <si>
    <t>III</t>
  </si>
  <si>
    <t>Profit /(Loss) before Tax (I-II)</t>
  </si>
  <si>
    <t>IV</t>
  </si>
  <si>
    <t>Revenue Subsidies and Grants</t>
  </si>
  <si>
    <t>Other Income</t>
  </si>
  <si>
    <t>Repairs and Maintenance</t>
  </si>
  <si>
    <t>Employee Cost</t>
  </si>
  <si>
    <t>Administration and General Expenses</t>
  </si>
  <si>
    <t>Interest and Finance charges</t>
  </si>
  <si>
    <t>Subtotal ( a+b+c+d+e)</t>
  </si>
  <si>
    <t>Less Capitalised Expenses:</t>
  </si>
  <si>
    <t>Other Debits</t>
  </si>
  <si>
    <t>Extra Ordinary Items</t>
  </si>
  <si>
    <t>Purchase of power</t>
  </si>
  <si>
    <t>Generation of Power</t>
  </si>
  <si>
    <t>Return on Equity</t>
  </si>
  <si>
    <t>Provision for Income Tax</t>
  </si>
  <si>
    <t>Net Prior period credits (Charges )</t>
  </si>
  <si>
    <t>Surplus (Deficit )</t>
  </si>
  <si>
    <t>Net Assets at the beginning of the year (Less consumer's Contribution )</t>
  </si>
  <si>
    <t>Rate of Return (VI / VII) in %</t>
  </si>
  <si>
    <t>(A)</t>
  </si>
  <si>
    <t>(B)</t>
  </si>
  <si>
    <t xml:space="preserve">(C) </t>
  </si>
  <si>
    <t>Capital Funds:</t>
  </si>
  <si>
    <t>Loan from State Government</t>
  </si>
  <si>
    <t>Contribution, grants &amp; subsidies towards cost of capital assets</t>
  </si>
  <si>
    <t>Net Current Assets</t>
  </si>
  <si>
    <t>Fixed assets</t>
  </si>
  <si>
    <t xml:space="preserve"> Self Consumption LT IV (B) Above 20 Kw</t>
  </si>
  <si>
    <t xml:space="preserve"> </t>
  </si>
  <si>
    <t>Approved ARR</t>
  </si>
  <si>
    <t>Aproved ARR</t>
  </si>
  <si>
    <t>HT I (IT &amp; TES</t>
  </si>
  <si>
    <t>HT -2( Non Industrial,Non Commercial)</t>
  </si>
  <si>
    <t>HT -4 ( Commercial)</t>
  </si>
  <si>
    <t xml:space="preserve">LT VI General (C) </t>
  </si>
  <si>
    <t>LT VI General (F) (1-ph)</t>
  </si>
  <si>
    <t>LT VI General (F) (3-ph)</t>
  </si>
  <si>
    <t>LT VII Commercial (A) (3-ph)</t>
  </si>
  <si>
    <t>LT  Total</t>
  </si>
  <si>
    <t>Grand Total consumption</t>
  </si>
  <si>
    <t>Licensed Area of Supply : Phase -II &amp; III Kazhakkuttam Campus</t>
  </si>
  <si>
    <t>Thiruvananthapuram</t>
  </si>
  <si>
    <t>27.05.2020</t>
  </si>
  <si>
    <t>HT II B</t>
  </si>
  <si>
    <t>Other charges if any</t>
  </si>
  <si>
    <t>LT IX Display Lighting and Hording</t>
  </si>
  <si>
    <t>Arrears</t>
  </si>
  <si>
    <r>
      <t>Licensed Area of Supply   : Technopark Premises at TVM &amp; Kollam                                  (</t>
    </r>
    <r>
      <rPr>
        <b/>
        <sz val="12"/>
        <rFont val="Arial Narrow"/>
        <family val="2"/>
      </rPr>
      <t>Rs Lakhs)</t>
    </r>
  </si>
  <si>
    <t>Prev year (Actual)</t>
  </si>
  <si>
    <t>Consumers Contribution for service connection lines etc</t>
  </si>
  <si>
    <t>Capital Subsidies from Government towards cost of Capital Assets</t>
  </si>
  <si>
    <t>Max. Demand</t>
  </si>
  <si>
    <r>
      <t xml:space="preserve">Phase-1 </t>
    </r>
    <r>
      <rPr>
        <b/>
        <sz val="11"/>
        <color theme="1"/>
        <rFont val="Arial Narrow"/>
        <family val="2"/>
      </rPr>
      <t>(Plant &amp; Mach Only)</t>
    </r>
  </si>
  <si>
    <r>
      <t xml:space="preserve">Phase 2 &amp; 3            </t>
    </r>
    <r>
      <rPr>
        <b/>
        <sz val="11"/>
        <color theme="1"/>
        <rFont val="Arial Narrow"/>
        <family val="2"/>
      </rPr>
      <t xml:space="preserve">  (do)</t>
    </r>
  </si>
  <si>
    <r>
      <t xml:space="preserve">Phase -5 Kollam     </t>
    </r>
    <r>
      <rPr>
        <b/>
        <sz val="11"/>
        <color theme="1"/>
        <rFont val="Arial Narrow"/>
        <family val="2"/>
      </rPr>
      <t xml:space="preserve"> (do)</t>
    </r>
  </si>
  <si>
    <r>
      <rPr>
        <b/>
        <i/>
        <sz val="12"/>
        <color indexed="8"/>
        <rFont val="Arial Narrow"/>
        <family val="2"/>
      </rPr>
      <t>Note:</t>
    </r>
    <r>
      <rPr>
        <i/>
        <sz val="12"/>
        <color indexed="8"/>
        <rFont val="Arial Narrow"/>
        <family val="2"/>
      </rPr>
      <t xml:space="preserve"> There is no Loan in Foreign Currency</t>
    </r>
  </si>
  <si>
    <t xml:space="preserve">Audit Fees </t>
  </si>
  <si>
    <t>Opening Value</t>
  </si>
  <si>
    <t>Energy purchase</t>
  </si>
  <si>
    <t>Solar Generation</t>
  </si>
  <si>
    <t xml:space="preserve">Less: Electricity Duty Payable to Govt. plus commission (Contra Entry) </t>
  </si>
  <si>
    <t>LT IV (B) IT/ITES (below 10kW)</t>
  </si>
  <si>
    <t>LT – IV B IT &amp; ITES (Between 10kW and 20kW)</t>
  </si>
  <si>
    <t>LT – IV B IT &amp; ITES (Above 20kW)</t>
  </si>
  <si>
    <t>LT IV (A) Industrial (Between 10kW and 20kW)</t>
  </si>
  <si>
    <t>LT IV (A) Industrial (Above 20kW)</t>
  </si>
  <si>
    <t>Personal Pay</t>
  </si>
  <si>
    <t>Consolidated Pay</t>
  </si>
  <si>
    <t>Security arrangements (1 person night duty per station)</t>
  </si>
  <si>
    <t>Professional &amp; Consultancy Charges</t>
  </si>
  <si>
    <t>Phase -4 Technocity</t>
  </si>
  <si>
    <t>Licensed Area of Supply : Technopark Technocity Campus (Phase 4)</t>
  </si>
  <si>
    <t>Phase-4 Technocity</t>
  </si>
  <si>
    <t>Form D 3.5 : Fixed Assets &amp; Depreciation  (Year 2020-21)</t>
  </si>
  <si>
    <t>Material and Spares Purchased</t>
  </si>
  <si>
    <t>Conveyance Charges (Hired Vehicle for Distribution Business)</t>
  </si>
  <si>
    <t>Petition and other Fees to KSERC / KSEB</t>
  </si>
  <si>
    <t>License Fee  and related fee to KSERC</t>
  </si>
  <si>
    <t>Others Fees  (To Electrical Inspectorate and KSEBL)</t>
  </si>
  <si>
    <t>Staff Training Expense</t>
  </si>
  <si>
    <t>Subscription to Institution</t>
  </si>
  <si>
    <t>Deletion</t>
  </si>
  <si>
    <t>Licensed Area of Supply : Technocity Campus (Phase 4)</t>
  </si>
  <si>
    <t>e) Loans and advances</t>
  </si>
  <si>
    <t>f) Sundry receivables</t>
  </si>
  <si>
    <t>d) Fixed Deposit for Bank Guarantee to KSEB &amp; others</t>
  </si>
  <si>
    <t>Add: Additions during the Year</t>
  </si>
  <si>
    <t xml:space="preserve">Less: Depreciation during the year </t>
  </si>
  <si>
    <t>Government Grants and One time connection Charges</t>
  </si>
  <si>
    <t>Depreciation for the Year</t>
  </si>
  <si>
    <t>Based on Commission Orders</t>
  </si>
  <si>
    <t>GFA (OWN+GRANTS) as per various KSERC ORDERS (Rs)</t>
  </si>
  <si>
    <t>Civil works</t>
  </si>
  <si>
    <t>Grants</t>
  </si>
  <si>
    <t>Own Fund</t>
  </si>
  <si>
    <t>Transmission lines</t>
  </si>
  <si>
    <t>Substations</t>
  </si>
  <si>
    <t>11 kV Works</t>
  </si>
  <si>
    <t>LT Lines</t>
  </si>
  <si>
    <t>Metering Equipment</t>
  </si>
  <si>
    <t>Electrical Installations</t>
  </si>
  <si>
    <t>Softwares</t>
  </si>
  <si>
    <t xml:space="preserve">Gross Fixed Computation for Previous Years </t>
  </si>
  <si>
    <t>Repayment of long term loans:</t>
  </si>
  <si>
    <t>HT -II (B) General</t>
  </si>
  <si>
    <t>Increase in KSEB payment</t>
  </si>
  <si>
    <t>Increase in TDS Payable</t>
  </si>
  <si>
    <t>Loan repaid during the year- Electonics Technology Park Kerala</t>
  </si>
  <si>
    <t>One-Time / Break-down works carried out</t>
  </si>
  <si>
    <t>2022-23</t>
  </si>
  <si>
    <r>
      <t xml:space="preserve">Phase -4 Technocity </t>
    </r>
    <r>
      <rPr>
        <b/>
        <sz val="11"/>
        <color theme="1"/>
        <rFont val="Arial Narrow"/>
        <family val="2"/>
      </rPr>
      <t>(do)</t>
    </r>
  </si>
  <si>
    <t>Deletions</t>
  </si>
  <si>
    <t>Previous years depreciation written back for the asset withdrawn</t>
  </si>
  <si>
    <t>LT IV (A) Industrial (Connected load above 20kW)</t>
  </si>
  <si>
    <t>LT – IV B IT &amp; ITES (Above 20 kW)</t>
  </si>
  <si>
    <t>Increase in Trade Recievables</t>
  </si>
  <si>
    <t>Increase in Electricity Deposit</t>
  </si>
  <si>
    <t>Increase in Electricity connection deposit received</t>
  </si>
  <si>
    <t>Depreciation on Grant portion</t>
  </si>
  <si>
    <t>Increase in Corpus Fund</t>
  </si>
  <si>
    <t>Less: Amount withdrawn</t>
  </si>
  <si>
    <t>xi</t>
  </si>
  <si>
    <t>v</t>
  </si>
  <si>
    <t>Form D 2.1: Revenue from Sale of Power for Finanacial Year  2023-24 (All Phases)</t>
  </si>
  <si>
    <t>Form D 2.1: Revenue from Sale of Power for Finanacial Year  2023-24 (Phase-1)</t>
  </si>
  <si>
    <t>Form D 2.1: Revenue from Sale of Power for Finanacial Year  2023-24 (Phase-2&amp;3)</t>
  </si>
  <si>
    <t>Form D 2.1: Revenue from Sale of Power for Finanacial Year  2023-24 (Technocity)</t>
  </si>
  <si>
    <t>Form D 2.1: Revenue from Sale of Power for Finanacial Year  2023-24 (Kollam)</t>
  </si>
  <si>
    <t>Form D 2.4 : Non-Tariff Income for FY 2023-24</t>
  </si>
  <si>
    <t>Form D  3.1 : Power Purchase Expenses ( Year  2023-24)</t>
  </si>
  <si>
    <t>Form D 3.4  : O&amp; M Expenses (FY 2023-24)</t>
  </si>
  <si>
    <t>Form D 3.5 : Fixed Assets &amp; Depreciation  (Year 2023-24)</t>
  </si>
  <si>
    <t>Form D 3.6 (a) : Calculation of Weighted Average Rate of Interest on Actual Loans (FY.2023-24)</t>
  </si>
  <si>
    <t>Form D 3.7 : Interest on Working Capital  (FY 2023-24)</t>
  </si>
  <si>
    <t>Form D 3.8 : Return on Net Fixed Assets (FY 2023-24)</t>
  </si>
  <si>
    <t>Form D 4.1 : Project-wise / Scheme-wise Capital Expenditure ( Year 2023-24)</t>
  </si>
  <si>
    <t>Form  D 4.2 : Consolidated report on additions to Fixed Assets ( Year 2023-24)</t>
  </si>
  <si>
    <t>Form D 6.2 : Appropriation of Distribution loss (FY 2023-24)</t>
  </si>
  <si>
    <t>Form D 7.1 : Category-wise Sales (FY 2023-24)</t>
  </si>
  <si>
    <t>Form D 7.3 : Collection Efficiency (FY 2023-24)</t>
  </si>
  <si>
    <t>Form D BS : Balance Sheet at the end of the year 2023-24</t>
  </si>
  <si>
    <t>Form D P&amp;L : Profit &amp; Loss Account (FY 2023-24)</t>
  </si>
  <si>
    <t xml:space="preserve">LT-X Electric Vehicles Charging Stations </t>
  </si>
  <si>
    <t>2023-24</t>
  </si>
  <si>
    <t>Form D 1.1 : Summary of Aggregate Revenue Requirement  (FY 2023-24)</t>
  </si>
  <si>
    <t>Vehicles</t>
  </si>
  <si>
    <t>Closing Balance of WIP as on 31.03.2024</t>
  </si>
  <si>
    <t>Opening Balance as on 01-04-2023</t>
  </si>
  <si>
    <t>Revamping of 11kV Power Distribution System - Phase I</t>
  </si>
  <si>
    <t>Solar Hybrid EV Charging Station - Phase I</t>
  </si>
  <si>
    <t>LT-X : ELECTRIC VEHICLES CHARGING STATIONS</t>
  </si>
  <si>
    <t>Decrease in Retention Money</t>
  </si>
  <si>
    <t>Increase in bank gaurantee / Interest Accrued</t>
  </si>
  <si>
    <t>Decrease in Deposit work</t>
  </si>
  <si>
    <t>Decrease in audit fee payable</t>
  </si>
  <si>
    <t>Decrease in Trade Payables</t>
  </si>
  <si>
    <t>Increase in Fixed assets</t>
  </si>
  <si>
    <t>Decrease in Work In Progress</t>
  </si>
  <si>
    <t>for the year 2023-24</t>
  </si>
  <si>
    <t>EV Scooter</t>
  </si>
  <si>
    <t>200kWP Grid Solar Power Plant - Phase III</t>
  </si>
  <si>
    <t>LT-X ELECTRIC VEHICLES CHARGING STATIONS</t>
  </si>
  <si>
    <t>Vechicles</t>
  </si>
  <si>
    <t>Before 01-04-20</t>
  </si>
  <si>
    <t>After 01-04-20</t>
  </si>
  <si>
    <t>23-24</t>
  </si>
  <si>
    <t>Grants and contributions</t>
  </si>
  <si>
    <t>For FY 2023-24</t>
  </si>
  <si>
    <t>Before 01-04-10</t>
  </si>
  <si>
    <t>After 01-04-10</t>
  </si>
  <si>
    <t>Civil works (Crreated before 01-04-2010)</t>
  </si>
  <si>
    <t xml:space="preserve">Less; ENA Depreciation* </t>
  </si>
  <si>
    <t>(90%*612.06-323.17)*10^5 / (35-13) =</t>
  </si>
  <si>
    <t>* Please see Para on 'Embeded non depreciable assets'</t>
  </si>
  <si>
    <t>Increase in Current Asset - Asset held for resale</t>
  </si>
  <si>
    <t>Depreciation on asset written off</t>
  </si>
  <si>
    <t>35 kWp Roof top grid connected solar plant at 110kV substation Technocity</t>
  </si>
  <si>
    <t>11kV VCB &amp; 110kV CT for substation Technopark Phase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</si>
</sst>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0.00_)"/>
    <numFmt numFmtId="166" formatCode="&quot;ß&quot;#,##0.00_);\(&quot;ß&quot;#,##0.00\)"/>
    <numFmt numFmtId="167" formatCode="0.0"/>
    <numFmt numFmtId="168" formatCode="_(* #,##0_);_(* \(#,##0\);_(* &quot;-&quot;??_);_(@_)"/>
    <numFmt numFmtId="169" formatCode="0.0000000"/>
    <numFmt numFmtId="170" formatCode="0.000"/>
    <numFmt numFmtId="171" formatCode="0.00000000"/>
    <numFmt numFmtId="172" formatCode="0.0%"/>
    <numFmt numFmtId="173" formatCode="d/m/yyyy"/>
  </numFmts>
  <fonts count="5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2"/>
      <name val="Tms Rmn"/>
    </font>
    <font>
      <sz val="10"/>
      <name val="Helv"/>
    </font>
    <font>
      <sz val="8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ahoma"/>
      <family val="2"/>
    </font>
    <font>
      <sz val="11"/>
      <color theme="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i/>
      <sz val="12"/>
      <color theme="5"/>
      <name val="Arial Narrow"/>
      <family val="2"/>
    </font>
    <font>
      <i/>
      <sz val="12"/>
      <color theme="5" tint="-0.249977111117893"/>
      <name val="Arial Narrow"/>
      <family val="2"/>
    </font>
    <font>
      <sz val="12"/>
      <color theme="1"/>
      <name val="Arial Narrow"/>
      <family val="2"/>
    </font>
    <font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sz val="12"/>
      <color theme="5" tint="-0.249977111117893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b/>
      <sz val="14"/>
      <name val="Arial Narrow"/>
      <family val="2"/>
    </font>
    <font>
      <sz val="14"/>
      <color theme="5" tint="-0.249977111117893"/>
      <name val="Arial Narrow"/>
      <family val="2"/>
    </font>
    <font>
      <b/>
      <sz val="10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i/>
      <sz val="12"/>
      <color theme="1"/>
      <name val="Arial Narrow"/>
      <family val="2"/>
    </font>
    <font>
      <b/>
      <i/>
      <sz val="12"/>
      <color indexed="8"/>
      <name val="Arial Narrow"/>
      <family val="2"/>
    </font>
    <font>
      <i/>
      <sz val="12"/>
      <color indexed="8"/>
      <name val="Arial Narrow"/>
      <family val="2"/>
    </font>
    <font>
      <sz val="10"/>
      <color theme="1"/>
      <name val="Arial Narrow"/>
      <family val="2"/>
    </font>
    <font>
      <b/>
      <sz val="12"/>
      <color theme="5" tint="-0.249977111117893"/>
      <name val="Arial Narrow"/>
      <family val="2"/>
    </font>
    <font>
      <sz val="12"/>
      <color rgb="FFFF0000"/>
      <name val="Arial Narrow"/>
      <family val="2"/>
    </font>
    <font>
      <b/>
      <sz val="10"/>
      <color theme="1"/>
      <name val="Arial Narrow"/>
      <family val="2"/>
    </font>
    <font>
      <i/>
      <sz val="11"/>
      <color rgb="FFFF0000"/>
      <name val="Arial Narrow"/>
      <family val="2"/>
    </font>
    <font>
      <b/>
      <sz val="11"/>
      <color theme="1"/>
      <name val="Calibri"/>
      <family val="2"/>
      <scheme val="minor"/>
    </font>
    <font>
      <b/>
      <sz val="12"/>
      <name val="Book Antiqua"/>
      <family val="1"/>
    </font>
    <font>
      <sz val="10"/>
      <name val="Book Antiqua"/>
      <family val="1"/>
    </font>
    <font>
      <sz val="11"/>
      <color rgb="FFFF0000"/>
      <name val="Calibri"/>
      <family val="2"/>
      <scheme val="minor"/>
    </font>
    <font>
      <sz val="11"/>
      <color theme="2" tint="-0.249977111117893"/>
      <name val="Arial Narrow"/>
      <family val="2"/>
    </font>
    <font>
      <b/>
      <sz val="12"/>
      <color theme="2" tint="-0.249977111117893"/>
      <name val="Arial Narrow"/>
      <family val="2"/>
    </font>
    <font>
      <sz val="12"/>
      <color theme="2" tint="-0.249977111117893"/>
      <name val="Arial Narrow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1"/>
      <color rgb="FFC00000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Calibri"/>
      <family val="2"/>
    </font>
    <font>
      <sz val="10"/>
      <color theme="1"/>
      <name val="Book Antiqua"/>
      <family val="1"/>
    </font>
    <font>
      <b/>
      <sz val="10"/>
      <name val="Book Antiqua"/>
      <family val="1"/>
    </font>
    <font>
      <b/>
      <sz val="10"/>
      <color theme="1"/>
      <name val="Book Antiqua"/>
      <family val="1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8168889431442"/>
        <bgColor theme="0"/>
      </patternFill>
    </fill>
    <fill>
      <patternFill patternType="solid">
        <fgColor theme="4" tint="0.79998168889431442"/>
        <bgColor rgb="FFD6DCE4"/>
      </patternFill>
    </fill>
    <fill>
      <patternFill patternType="solid">
        <fgColor theme="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</fills>
  <borders count="12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49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1"/>
    <xf numFmtId="164" fontId="3" fillId="0" borderId="0" applyFont="0" applyFill="0" applyBorder="0" applyAlignment="0" applyProtection="0"/>
    <xf numFmtId="0" fontId="5" fillId="0" borderId="1"/>
    <xf numFmtId="38" fontId="6" fillId="2" borderId="0" applyNumberFormat="0" applyBorder="0" applyAlignment="0" applyProtection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10" fontId="6" fillId="3" borderId="4" applyNumberFormat="0" applyBorder="0" applyAlignment="0" applyProtection="0"/>
    <xf numFmtId="37" fontId="8" fillId="0" borderId="0"/>
    <xf numFmtId="165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>
      <alignment vertical="center"/>
    </xf>
    <xf numFmtId="16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>
      <alignment vertical="center"/>
    </xf>
    <xf numFmtId="164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0" borderId="0"/>
    <xf numFmtId="0" fontId="3" fillId="0" borderId="0"/>
    <xf numFmtId="0" fontId="12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4" fillId="0" borderId="0"/>
  </cellStyleXfs>
  <cellXfs count="1194">
    <xf numFmtId="0" fontId="0" fillId="0" borderId="0" xfId="0"/>
    <xf numFmtId="0" fontId="13" fillId="0" borderId="0" xfId="0" applyFont="1"/>
    <xf numFmtId="0" fontId="16" fillId="6" borderId="9" xfId="18" applyFont="1" applyFill="1" applyBorder="1" applyAlignment="1">
      <alignment horizontal="center" vertical="center" wrapText="1"/>
    </xf>
    <xf numFmtId="0" fontId="16" fillId="6" borderId="4" xfId="18" applyFont="1" applyFill="1" applyBorder="1" applyAlignment="1">
      <alignment horizontal="center" vertical="center"/>
    </xf>
    <xf numFmtId="0" fontId="16" fillId="6" borderId="4" xfId="18" applyFont="1" applyFill="1" applyBorder="1" applyAlignment="1">
      <alignment horizontal="center" vertical="center" wrapText="1"/>
    </xf>
    <xf numFmtId="0" fontId="16" fillId="6" borderId="6" xfId="18" applyFont="1" applyFill="1" applyBorder="1" applyAlignment="1">
      <alignment horizontal="center" vertical="center"/>
    </xf>
    <xf numFmtId="0" fontId="14" fillId="6" borderId="15" xfId="21" applyFont="1" applyFill="1" applyBorder="1" applyAlignment="1">
      <alignment horizontal="center" vertical="center"/>
    </xf>
    <xf numFmtId="0" fontId="14" fillId="6" borderId="13" xfId="21" applyFont="1" applyFill="1" applyBorder="1" applyAlignment="1">
      <alignment horizontal="center" vertical="center"/>
    </xf>
    <xf numFmtId="0" fontId="16" fillId="6" borderId="13" xfId="18" applyFont="1" applyFill="1" applyBorder="1" applyAlignment="1">
      <alignment horizontal="center" vertical="center"/>
    </xf>
    <xf numFmtId="0" fontId="14" fillId="6" borderId="14" xfId="21" applyFont="1" applyFill="1" applyBorder="1" applyAlignment="1">
      <alignment horizontal="center" vertical="center"/>
    </xf>
    <xf numFmtId="0" fontId="15" fillId="5" borderId="16" xfId="21" applyFont="1" applyFill="1" applyBorder="1" applyAlignment="1">
      <alignment horizontal="center" vertical="center"/>
    </xf>
    <xf numFmtId="0" fontId="15" fillId="5" borderId="9" xfId="21" applyFont="1" applyFill="1" applyBorder="1">
      <alignment vertical="center"/>
    </xf>
    <xf numFmtId="0" fontId="15" fillId="5" borderId="9" xfId="21" applyFont="1" applyFill="1" applyBorder="1" applyAlignment="1">
      <alignment horizontal="center" vertical="center"/>
    </xf>
    <xf numFmtId="164" fontId="15" fillId="5" borderId="9" xfId="29" applyFont="1" applyFill="1" applyBorder="1" applyAlignment="1">
      <alignment vertical="center"/>
    </xf>
    <xf numFmtId="164" fontId="15" fillId="5" borderId="12" xfId="29" applyFont="1" applyFill="1" applyBorder="1" applyAlignment="1">
      <alignment vertical="center"/>
    </xf>
    <xf numFmtId="0" fontId="15" fillId="5" borderId="8" xfId="21" applyFont="1" applyFill="1" applyBorder="1" applyAlignment="1">
      <alignment horizontal="center" vertical="center"/>
    </xf>
    <xf numFmtId="0" fontId="15" fillId="5" borderId="4" xfId="21" applyFont="1" applyFill="1" applyBorder="1">
      <alignment vertical="center"/>
    </xf>
    <xf numFmtId="0" fontId="15" fillId="5" borderId="4" xfId="21" applyFont="1" applyFill="1" applyBorder="1" applyAlignment="1">
      <alignment horizontal="center" vertical="center"/>
    </xf>
    <xf numFmtId="164" fontId="15" fillId="5" borderId="4" xfId="29" applyFont="1" applyFill="1" applyBorder="1" applyAlignment="1">
      <alignment horizontal="center" vertical="center"/>
    </xf>
    <xf numFmtId="0" fontId="17" fillId="5" borderId="8" xfId="21" applyFont="1" applyFill="1" applyBorder="1" applyAlignment="1">
      <alignment horizontal="right" vertical="center"/>
    </xf>
    <xf numFmtId="0" fontId="17" fillId="5" borderId="4" xfId="21" applyFont="1" applyFill="1" applyBorder="1" applyAlignment="1">
      <alignment horizontal="right" vertical="center"/>
    </xf>
    <xf numFmtId="0" fontId="17" fillId="5" borderId="4" xfId="21" applyFont="1" applyFill="1" applyBorder="1" applyAlignment="1">
      <alignment horizontal="center" vertical="center"/>
    </xf>
    <xf numFmtId="164" fontId="17" fillId="5" borderId="4" xfId="29" applyFont="1" applyFill="1" applyBorder="1" applyAlignment="1">
      <alignment horizontal="center" vertical="center"/>
    </xf>
    <xf numFmtId="164" fontId="18" fillId="0" borderId="4" xfId="29" applyFont="1" applyBorder="1"/>
    <xf numFmtId="164" fontId="18" fillId="0" borderId="6" xfId="29" applyFont="1" applyBorder="1"/>
    <xf numFmtId="164" fontId="13" fillId="0" borderId="0" xfId="0" applyNumberFormat="1" applyFont="1"/>
    <xf numFmtId="164" fontId="18" fillId="5" borderId="4" xfId="29" applyFont="1" applyFill="1" applyBorder="1" applyAlignment="1">
      <alignment vertical="center"/>
    </xf>
    <xf numFmtId="0" fontId="15" fillId="0" borderId="4" xfId="21" applyFont="1" applyBorder="1" applyAlignment="1">
      <alignment vertical="center" wrapText="1"/>
    </xf>
    <xf numFmtId="164" fontId="19" fillId="0" borderId="4" xfId="29" applyFont="1" applyBorder="1"/>
    <xf numFmtId="164" fontId="15" fillId="5" borderId="6" xfId="29" applyFont="1" applyFill="1" applyBorder="1" applyAlignment="1">
      <alignment vertical="center"/>
    </xf>
    <xf numFmtId="0" fontId="15" fillId="0" borderId="4" xfId="21" applyFont="1" applyBorder="1">
      <alignment vertical="center"/>
    </xf>
    <xf numFmtId="164" fontId="19" fillId="0" borderId="0" xfId="29" applyFont="1" applyBorder="1"/>
    <xf numFmtId="0" fontId="15" fillId="5" borderId="4" xfId="21" applyFont="1" applyFill="1" applyBorder="1" applyAlignment="1">
      <alignment vertical="center" wrapText="1"/>
    </xf>
    <xf numFmtId="164" fontId="15" fillId="0" borderId="4" xfId="29" applyFont="1" applyFill="1" applyBorder="1" applyAlignment="1">
      <alignment vertical="center"/>
    </xf>
    <xf numFmtId="164" fontId="15" fillId="0" borderId="6" xfId="29" applyFont="1" applyFill="1" applyBorder="1" applyAlignment="1">
      <alignment vertical="center"/>
    </xf>
    <xf numFmtId="0" fontId="15" fillId="5" borderId="44" xfId="21" applyFont="1" applyFill="1" applyBorder="1" applyAlignment="1">
      <alignment horizontal="center" vertical="center"/>
    </xf>
    <xf numFmtId="0" fontId="15" fillId="5" borderId="23" xfId="21" applyFont="1" applyFill="1" applyBorder="1" applyAlignment="1">
      <alignment vertical="center" wrapText="1"/>
    </xf>
    <xf numFmtId="0" fontId="15" fillId="5" borderId="23" xfId="21" applyFont="1" applyFill="1" applyBorder="1" applyAlignment="1">
      <alignment horizontal="center" vertical="center"/>
    </xf>
    <xf numFmtId="164" fontId="15" fillId="5" borderId="23" xfId="29" applyFont="1" applyFill="1" applyBorder="1" applyAlignment="1">
      <alignment horizontal="center" vertical="center"/>
    </xf>
    <xf numFmtId="164" fontId="15" fillId="0" borderId="23" xfId="29" applyFont="1" applyFill="1" applyBorder="1" applyAlignment="1">
      <alignment vertical="center"/>
    </xf>
    <xf numFmtId="164" fontId="15" fillId="0" borderId="24" xfId="29" applyFont="1" applyFill="1" applyBorder="1" applyAlignment="1">
      <alignment vertical="center"/>
    </xf>
    <xf numFmtId="0" fontId="15" fillId="9" borderId="41" xfId="21" applyFont="1" applyFill="1" applyBorder="1" applyAlignment="1">
      <alignment horizontal="center" vertical="center"/>
    </xf>
    <xf numFmtId="0" fontId="14" fillId="9" borderId="42" xfId="21" applyFont="1" applyFill="1" applyBorder="1">
      <alignment vertical="center"/>
    </xf>
    <xf numFmtId="0" fontId="14" fillId="9" borderId="42" xfId="21" applyFont="1" applyFill="1" applyBorder="1" applyAlignment="1">
      <alignment horizontal="center" vertical="center"/>
    </xf>
    <xf numFmtId="164" fontId="14" fillId="9" borderId="42" xfId="29" applyFont="1" applyFill="1" applyBorder="1" applyAlignment="1">
      <alignment vertical="center"/>
    </xf>
    <xf numFmtId="164" fontId="14" fillId="9" borderId="43" xfId="29" applyFont="1" applyFill="1" applyBorder="1" applyAlignment="1">
      <alignment vertical="center"/>
    </xf>
    <xf numFmtId="0" fontId="15" fillId="5" borderId="17" xfId="21" applyFont="1" applyFill="1" applyBorder="1" applyAlignment="1">
      <alignment horizontal="center" vertical="center"/>
    </xf>
    <xf numFmtId="0" fontId="15" fillId="0" borderId="18" xfId="21" applyFont="1" applyBorder="1">
      <alignment vertical="center"/>
    </xf>
    <xf numFmtId="0" fontId="15" fillId="5" borderId="18" xfId="21" applyFont="1" applyFill="1" applyBorder="1" applyAlignment="1">
      <alignment horizontal="center" vertical="center"/>
    </xf>
    <xf numFmtId="164" fontId="15" fillId="5" borderId="18" xfId="29" applyFont="1" applyFill="1" applyBorder="1" applyAlignment="1">
      <alignment horizontal="center" vertical="center"/>
    </xf>
    <xf numFmtId="164" fontId="15" fillId="5" borderId="18" xfId="29" applyFont="1" applyFill="1" applyBorder="1" applyAlignment="1">
      <alignment vertical="center"/>
    </xf>
    <xf numFmtId="164" fontId="15" fillId="5" borderId="19" xfId="29" applyFont="1" applyFill="1" applyBorder="1" applyAlignment="1">
      <alignment vertical="center"/>
    </xf>
    <xf numFmtId="167" fontId="15" fillId="5" borderId="23" xfId="21" applyNumberFormat="1" applyFont="1" applyFill="1" applyBorder="1" applyAlignment="1">
      <alignment horizontal="center" vertical="center"/>
    </xf>
    <xf numFmtId="164" fontId="15" fillId="5" borderId="23" xfId="29" applyFont="1" applyFill="1" applyBorder="1" applyAlignment="1">
      <alignment vertical="center"/>
    </xf>
    <xf numFmtId="164" fontId="15" fillId="5" borderId="24" xfId="29" applyFont="1" applyFill="1" applyBorder="1" applyAlignment="1">
      <alignment vertical="center"/>
    </xf>
    <xf numFmtId="0" fontId="15" fillId="9" borderId="42" xfId="21" applyFont="1" applyFill="1" applyBorder="1" applyAlignment="1">
      <alignment horizontal="center" vertical="center"/>
    </xf>
    <xf numFmtId="164" fontId="14" fillId="9" borderId="42" xfId="29" applyFont="1" applyFill="1" applyBorder="1" applyAlignment="1">
      <alignment horizontal="center" vertical="center"/>
    </xf>
    <xf numFmtId="164" fontId="14" fillId="9" borderId="43" xfId="29" applyFont="1" applyFill="1" applyBorder="1" applyAlignment="1">
      <alignment horizontal="center" vertical="center"/>
    </xf>
    <xf numFmtId="0" fontId="15" fillId="5" borderId="46" xfId="21" applyFont="1" applyFill="1" applyBorder="1" applyAlignment="1">
      <alignment horizontal="center" vertical="center"/>
    </xf>
    <xf numFmtId="0" fontId="15" fillId="5" borderId="7" xfId="21" applyFont="1" applyFill="1" applyBorder="1">
      <alignment vertical="center"/>
    </xf>
    <xf numFmtId="0" fontId="15" fillId="5" borderId="7" xfId="21" applyFont="1" applyFill="1" applyBorder="1" applyAlignment="1">
      <alignment horizontal="center" vertical="center"/>
    </xf>
    <xf numFmtId="164" fontId="15" fillId="5" borderId="7" xfId="29" applyFont="1" applyFill="1" applyBorder="1" applyAlignment="1">
      <alignment vertical="center"/>
    </xf>
    <xf numFmtId="164" fontId="15" fillId="5" borderId="47" xfId="29" applyFont="1" applyFill="1" applyBorder="1" applyAlignment="1">
      <alignment vertical="center"/>
    </xf>
    <xf numFmtId="0" fontId="19" fillId="0" borderId="18" xfId="0" applyFont="1" applyBorder="1"/>
    <xf numFmtId="0" fontId="19" fillId="0" borderId="18" xfId="0" applyFont="1" applyBorder="1" applyAlignment="1">
      <alignment horizontal="center"/>
    </xf>
    <xf numFmtId="164" fontId="19" fillId="0" borderId="18" xfId="29" applyFont="1" applyBorder="1"/>
    <xf numFmtId="164" fontId="19" fillId="0" borderId="18" xfId="29" applyFont="1" applyBorder="1" applyAlignment="1">
      <alignment horizontal="right"/>
    </xf>
    <xf numFmtId="164" fontId="19" fillId="0" borderId="19" xfId="29" applyFont="1" applyBorder="1"/>
    <xf numFmtId="0" fontId="15" fillId="9" borderId="15" xfId="21" applyFont="1" applyFill="1" applyBorder="1" applyAlignment="1">
      <alignment horizontal="center" vertical="center"/>
    </xf>
    <xf numFmtId="0" fontId="16" fillId="9" borderId="13" xfId="0" applyFont="1" applyFill="1" applyBorder="1"/>
    <xf numFmtId="164" fontId="16" fillId="9" borderId="13" xfId="29" applyFont="1" applyFill="1" applyBorder="1"/>
    <xf numFmtId="164" fontId="16" fillId="9" borderId="14" xfId="29" applyFont="1" applyFill="1" applyBorder="1"/>
    <xf numFmtId="164" fontId="14" fillId="0" borderId="0" xfId="30" applyNumberFormat="1" applyFont="1" applyFill="1" applyBorder="1"/>
    <xf numFmtId="0" fontId="19" fillId="0" borderId="0" xfId="0" applyFont="1"/>
    <xf numFmtId="0" fontId="14" fillId="0" borderId="0" xfId="35" applyFont="1" applyAlignment="1">
      <alignment horizontal="right"/>
    </xf>
    <xf numFmtId="0" fontId="14" fillId="0" borderId="0" xfId="36" applyFont="1" applyAlignment="1">
      <alignment horizontal="right"/>
    </xf>
    <xf numFmtId="2" fontId="19" fillId="0" borderId="0" xfId="0" applyNumberFormat="1" applyFont="1"/>
    <xf numFmtId="0" fontId="14" fillId="0" borderId="0" xfId="36" applyFont="1"/>
    <xf numFmtId="0" fontId="15" fillId="0" borderId="0" xfId="37" applyFont="1"/>
    <xf numFmtId="164" fontId="15" fillId="0" borderId="0" xfId="30" applyNumberFormat="1" applyFont="1" applyFill="1" applyBorder="1" applyAlignment="1">
      <alignment horizontal="right"/>
    </xf>
    <xf numFmtId="0" fontId="14" fillId="0" borderId="0" xfId="0" applyFont="1"/>
    <xf numFmtId="164" fontId="15" fillId="0" borderId="0" xfId="0" applyNumberFormat="1" applyFont="1" applyAlignment="1">
      <alignment horizontal="right"/>
    </xf>
    <xf numFmtId="164" fontId="15" fillId="0" borderId="0" xfId="30" applyNumberFormat="1" applyFont="1" applyFill="1" applyBorder="1"/>
    <xf numFmtId="164" fontId="14" fillId="0" borderId="0" xfId="30" applyNumberFormat="1" applyFont="1" applyFill="1" applyBorder="1" applyAlignment="1">
      <alignment horizontal="right"/>
    </xf>
    <xf numFmtId="14" fontId="15" fillId="0" borderId="0" xfId="30" applyNumberFormat="1" applyFont="1" applyFill="1" applyBorder="1"/>
    <xf numFmtId="164" fontId="14" fillId="0" borderId="0" xfId="30" applyNumberFormat="1" applyFont="1" applyFill="1" applyBorder="1" applyAlignment="1"/>
    <xf numFmtId="164" fontId="14" fillId="0" borderId="0" xfId="30" applyNumberFormat="1" applyFont="1" applyFill="1" applyBorder="1" applyAlignment="1">
      <alignment horizontal="left"/>
    </xf>
    <xf numFmtId="0" fontId="19" fillId="9" borderId="16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textRotation="90" wrapText="1"/>
    </xf>
    <xf numFmtId="0" fontId="19" fillId="9" borderId="9" xfId="0" applyFont="1" applyFill="1" applyBorder="1" applyAlignment="1">
      <alignment horizontal="center" vertical="center" textRotation="90" wrapText="1"/>
    </xf>
    <xf numFmtId="0" fontId="19" fillId="9" borderId="12" xfId="0" applyFont="1" applyFill="1" applyBorder="1" applyAlignment="1">
      <alignment horizontal="center" vertical="center" textRotation="90" wrapText="1"/>
    </xf>
    <xf numFmtId="0" fontId="20" fillId="9" borderId="0" xfId="0" applyFont="1" applyFill="1" applyAlignment="1">
      <alignment horizontal="center" vertical="center" textRotation="90" wrapText="1"/>
    </xf>
    <xf numFmtId="0" fontId="19" fillId="11" borderId="15" xfId="0" applyFont="1" applyFill="1" applyBorder="1" applyAlignment="1">
      <alignment horizontal="center" wrapText="1"/>
    </xf>
    <xf numFmtId="0" fontId="19" fillId="11" borderId="13" xfId="0" applyFont="1" applyFill="1" applyBorder="1" applyAlignment="1">
      <alignment horizontal="center" wrapText="1"/>
    </xf>
    <xf numFmtId="0" fontId="19" fillId="11" borderId="14" xfId="0" applyFont="1" applyFill="1" applyBorder="1" applyAlignment="1">
      <alignment horizontal="center" wrapText="1"/>
    </xf>
    <xf numFmtId="0" fontId="19" fillId="0" borderId="17" xfId="0" applyFont="1" applyBorder="1" applyAlignment="1">
      <alignment horizontal="center"/>
    </xf>
    <xf numFmtId="1" fontId="19" fillId="0" borderId="18" xfId="0" applyNumberFormat="1" applyFont="1" applyBorder="1"/>
    <xf numFmtId="10" fontId="19" fillId="0" borderId="18" xfId="33" applyNumberFormat="1" applyFont="1" applyBorder="1"/>
    <xf numFmtId="168" fontId="19" fillId="0" borderId="18" xfId="29" applyNumberFormat="1" applyFont="1" applyBorder="1"/>
    <xf numFmtId="2" fontId="19" fillId="0" borderId="18" xfId="0" applyNumberFormat="1" applyFont="1" applyBorder="1" applyAlignment="1">
      <alignment horizontal="right"/>
    </xf>
    <xf numFmtId="2" fontId="19" fillId="0" borderId="18" xfId="0" applyNumberFormat="1" applyFont="1" applyBorder="1"/>
    <xf numFmtId="2" fontId="19" fillId="0" borderId="19" xfId="0" applyNumberFormat="1" applyFont="1" applyBorder="1"/>
    <xf numFmtId="1" fontId="13" fillId="0" borderId="0" xfId="0" applyNumberFormat="1" applyFont="1"/>
    <xf numFmtId="0" fontId="19" fillId="0" borderId="8" xfId="0" applyFont="1" applyBorder="1" applyAlignment="1">
      <alignment horizontal="center"/>
    </xf>
    <xf numFmtId="0" fontId="19" fillId="0" borderId="4" xfId="0" applyFont="1" applyBorder="1"/>
    <xf numFmtId="10" fontId="19" fillId="0" borderId="4" xfId="33" applyNumberFormat="1" applyFont="1" applyBorder="1"/>
    <xf numFmtId="1" fontId="19" fillId="0" borderId="4" xfId="0" applyNumberFormat="1" applyFont="1" applyBorder="1"/>
    <xf numFmtId="2" fontId="19" fillId="0" borderId="4" xfId="0" applyNumberFormat="1" applyFont="1" applyBorder="1" applyAlignment="1">
      <alignment horizontal="right"/>
    </xf>
    <xf numFmtId="2" fontId="19" fillId="0" borderId="4" xfId="0" applyNumberFormat="1" applyFont="1" applyBorder="1"/>
    <xf numFmtId="2" fontId="19" fillId="0" borderId="6" xfId="0" applyNumberFormat="1" applyFont="1" applyBorder="1"/>
    <xf numFmtId="10" fontId="19" fillId="0" borderId="4" xfId="33" applyNumberFormat="1" applyFont="1" applyFill="1" applyBorder="1"/>
    <xf numFmtId="0" fontId="19" fillId="0" borderId="44" xfId="0" applyFont="1" applyBorder="1" applyAlignment="1">
      <alignment horizontal="center"/>
    </xf>
    <xf numFmtId="0" fontId="19" fillId="0" borderId="23" xfId="0" applyFont="1" applyBorder="1"/>
    <xf numFmtId="10" fontId="19" fillId="0" borderId="23" xfId="33" applyNumberFormat="1" applyFont="1" applyBorder="1"/>
    <xf numFmtId="1" fontId="19" fillId="0" borderId="23" xfId="0" applyNumberFormat="1" applyFont="1" applyBorder="1"/>
    <xf numFmtId="2" fontId="19" fillId="0" borderId="23" xfId="0" applyNumberFormat="1" applyFont="1" applyBorder="1" applyAlignment="1">
      <alignment horizontal="right"/>
    </xf>
    <xf numFmtId="2" fontId="19" fillId="0" borderId="23" xfId="0" applyNumberFormat="1" applyFont="1" applyBorder="1"/>
    <xf numFmtId="2" fontId="19" fillId="0" borderId="24" xfId="0" applyNumberFormat="1" applyFont="1" applyBorder="1"/>
    <xf numFmtId="0" fontId="19" fillId="9" borderId="41" xfId="0" applyFont="1" applyFill="1" applyBorder="1" applyAlignment="1">
      <alignment horizontal="center"/>
    </xf>
    <xf numFmtId="0" fontId="19" fillId="9" borderId="42" xfId="0" applyFont="1" applyFill="1" applyBorder="1"/>
    <xf numFmtId="1" fontId="19" fillId="9" borderId="42" xfId="0" applyNumberFormat="1" applyFont="1" applyFill="1" applyBorder="1"/>
    <xf numFmtId="10" fontId="19" fillId="9" borderId="42" xfId="33" applyNumberFormat="1" applyFont="1" applyFill="1" applyBorder="1"/>
    <xf numFmtId="1" fontId="19" fillId="9" borderId="42" xfId="0" applyNumberFormat="1" applyFont="1" applyFill="1" applyBorder="1" applyAlignment="1">
      <alignment horizontal="center"/>
    </xf>
    <xf numFmtId="168" fontId="19" fillId="9" borderId="42" xfId="29" applyNumberFormat="1" applyFont="1" applyFill="1" applyBorder="1"/>
    <xf numFmtId="2" fontId="19" fillId="9" borderId="42" xfId="0" applyNumberFormat="1" applyFont="1" applyFill="1" applyBorder="1"/>
    <xf numFmtId="2" fontId="19" fillId="9" borderId="43" xfId="0" applyNumberFormat="1" applyFont="1" applyFill="1" applyBorder="1"/>
    <xf numFmtId="168" fontId="13" fillId="0" borderId="0" xfId="0" applyNumberFormat="1" applyFont="1"/>
    <xf numFmtId="0" fontId="19" fillId="9" borderId="16" xfId="0" applyFont="1" applyFill="1" applyBorder="1" applyAlignment="1">
      <alignment horizontal="center"/>
    </xf>
    <xf numFmtId="0" fontId="19" fillId="9" borderId="9" xfId="0" applyFont="1" applyFill="1" applyBorder="1"/>
    <xf numFmtId="1" fontId="19" fillId="9" borderId="9" xfId="0" applyNumberFormat="1" applyFont="1" applyFill="1" applyBorder="1"/>
    <xf numFmtId="10" fontId="19" fillId="9" borderId="9" xfId="33" applyNumberFormat="1" applyFont="1" applyFill="1" applyBorder="1"/>
    <xf numFmtId="168" fontId="19" fillId="9" borderId="9" xfId="29" applyNumberFormat="1" applyFont="1" applyFill="1" applyBorder="1"/>
    <xf numFmtId="2" fontId="19" fillId="9" borderId="9" xfId="0" applyNumberFormat="1" applyFont="1" applyFill="1" applyBorder="1"/>
    <xf numFmtId="2" fontId="19" fillId="9" borderId="12" xfId="0" applyNumberFormat="1" applyFont="1" applyFill="1" applyBorder="1"/>
    <xf numFmtId="0" fontId="19" fillId="11" borderId="15" xfId="0" applyFont="1" applyFill="1" applyBorder="1" applyAlignment="1">
      <alignment horizontal="center"/>
    </xf>
    <xf numFmtId="0" fontId="19" fillId="11" borderId="13" xfId="0" applyFont="1" applyFill="1" applyBorder="1"/>
    <xf numFmtId="168" fontId="19" fillId="11" borderId="13" xfId="29" applyNumberFormat="1" applyFont="1" applyFill="1" applyBorder="1"/>
    <xf numFmtId="2" fontId="19" fillId="11" borderId="14" xfId="0" applyNumberFormat="1" applyFont="1" applyFill="1" applyBorder="1"/>
    <xf numFmtId="168" fontId="19" fillId="0" borderId="4" xfId="29" applyNumberFormat="1" applyFont="1" applyBorder="1"/>
    <xf numFmtId="168" fontId="19" fillId="0" borderId="23" xfId="29" applyNumberFormat="1" applyFont="1" applyBorder="1"/>
    <xf numFmtId="164" fontId="19" fillId="0" borderId="0" xfId="29" applyFont="1"/>
    <xf numFmtId="0" fontId="22" fillId="0" borderId="0" xfId="0" applyFont="1"/>
    <xf numFmtId="0" fontId="23" fillId="0" borderId="25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1" fontId="23" fillId="0" borderId="26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1" fontId="19" fillId="0" borderId="0" xfId="0" applyNumberFormat="1" applyFont="1"/>
    <xf numFmtId="0" fontId="15" fillId="5" borderId="0" xfId="12" applyFont="1" applyFill="1"/>
    <xf numFmtId="0" fontId="14" fillId="5" borderId="34" xfId="12" applyFont="1" applyFill="1" applyBorder="1" applyAlignment="1">
      <alignment horizontal="right"/>
    </xf>
    <xf numFmtId="0" fontId="14" fillId="6" borderId="8" xfId="12" applyFont="1" applyFill="1" applyBorder="1" applyAlignment="1">
      <alignment horizontal="center" vertical="center" wrapText="1"/>
    </xf>
    <xf numFmtId="0" fontId="14" fillId="6" borderId="4" xfId="12" applyFont="1" applyFill="1" applyBorder="1" applyAlignment="1">
      <alignment horizontal="center" vertical="center" wrapText="1"/>
    </xf>
    <xf numFmtId="16" fontId="14" fillId="6" borderId="4" xfId="12" applyNumberFormat="1" applyFont="1" applyFill="1" applyBorder="1" applyAlignment="1">
      <alignment horizontal="center" vertical="center" wrapText="1"/>
    </xf>
    <xf numFmtId="16" fontId="14" fillId="6" borderId="6" xfId="12" applyNumberFormat="1" applyFont="1" applyFill="1" applyBorder="1" applyAlignment="1">
      <alignment horizontal="center" vertical="center" wrapText="1"/>
    </xf>
    <xf numFmtId="0" fontId="14" fillId="6" borderId="8" xfId="12" applyFont="1" applyFill="1" applyBorder="1" applyAlignment="1">
      <alignment horizontal="center" vertical="center"/>
    </xf>
    <xf numFmtId="0" fontId="14" fillId="6" borderId="4" xfId="12" quotePrefix="1" applyFont="1" applyFill="1" applyBorder="1" applyAlignment="1">
      <alignment horizontal="center" vertical="center" wrapText="1"/>
    </xf>
    <xf numFmtId="0" fontId="14" fillId="6" borderId="6" xfId="12" quotePrefix="1" applyFont="1" applyFill="1" applyBorder="1" applyAlignment="1">
      <alignment horizontal="center" vertical="center" wrapText="1"/>
    </xf>
    <xf numFmtId="0" fontId="14" fillId="5" borderId="8" xfId="12" applyFont="1" applyFill="1" applyBorder="1" applyAlignment="1">
      <alignment horizontal="center"/>
    </xf>
    <xf numFmtId="0" fontId="19" fillId="5" borderId="18" xfId="34" applyFont="1" applyFill="1" applyBorder="1" applyAlignment="1">
      <alignment horizontal="left"/>
    </xf>
    <xf numFmtId="1" fontId="15" fillId="5" borderId="4" xfId="12" applyNumberFormat="1" applyFont="1" applyFill="1" applyBorder="1"/>
    <xf numFmtId="1" fontId="15" fillId="5" borderId="6" xfId="12" applyNumberFormat="1" applyFont="1" applyFill="1" applyBorder="1"/>
    <xf numFmtId="1" fontId="19" fillId="5" borderId="6" xfId="12" applyNumberFormat="1" applyFont="1" applyFill="1" applyBorder="1"/>
    <xf numFmtId="0" fontId="14" fillId="5" borderId="4" xfId="12" applyFont="1" applyFill="1" applyBorder="1" applyAlignment="1">
      <alignment vertical="top" wrapText="1"/>
    </xf>
    <xf numFmtId="0" fontId="14" fillId="12" borderId="8" xfId="12" applyFont="1" applyFill="1" applyBorder="1" applyAlignment="1">
      <alignment horizontal="center"/>
    </xf>
    <xf numFmtId="0" fontId="14" fillId="12" borderId="4" xfId="12" applyFont="1" applyFill="1" applyBorder="1" applyAlignment="1">
      <alignment vertical="top" wrapText="1"/>
    </xf>
    <xf numFmtId="1" fontId="14" fillId="12" borderId="4" xfId="12" applyNumberFormat="1" applyFont="1" applyFill="1" applyBorder="1"/>
    <xf numFmtId="1" fontId="14" fillId="12" borderId="6" xfId="12" applyNumberFormat="1" applyFont="1" applyFill="1" applyBorder="1"/>
    <xf numFmtId="0" fontId="15" fillId="5" borderId="4" xfId="12" applyFont="1" applyFill="1" applyBorder="1" applyAlignment="1">
      <alignment vertical="top" wrapText="1"/>
    </xf>
    <xf numFmtId="0" fontId="15" fillId="5" borderId="4" xfId="12" applyFont="1" applyFill="1" applyBorder="1" applyAlignment="1">
      <alignment horizontal="left" vertical="top" wrapText="1"/>
    </xf>
    <xf numFmtId="2" fontId="14" fillId="5" borderId="4" xfId="12" applyNumberFormat="1" applyFont="1" applyFill="1" applyBorder="1"/>
    <xf numFmtId="2" fontId="14" fillId="5" borderId="6" xfId="12" applyNumberFormat="1" applyFont="1" applyFill="1" applyBorder="1"/>
    <xf numFmtId="0" fontId="14" fillId="12" borderId="15" xfId="12" applyFont="1" applyFill="1" applyBorder="1" applyAlignment="1">
      <alignment horizontal="center"/>
    </xf>
    <xf numFmtId="0" fontId="14" fillId="12" borderId="13" xfId="12" applyFont="1" applyFill="1" applyBorder="1" applyAlignment="1">
      <alignment vertical="top" wrapText="1"/>
    </xf>
    <xf numFmtId="0" fontId="14" fillId="12" borderId="13" xfId="12" applyFont="1" applyFill="1" applyBorder="1"/>
    <xf numFmtId="2" fontId="14" fillId="12" borderId="13" xfId="12" applyNumberFormat="1" applyFont="1" applyFill="1" applyBorder="1"/>
    <xf numFmtId="2" fontId="14" fillId="12" borderId="14" xfId="12" applyNumberFormat="1" applyFont="1" applyFill="1" applyBorder="1"/>
    <xf numFmtId="164" fontId="24" fillId="0" borderId="0" xfId="30" applyNumberFormat="1" applyFont="1" applyFill="1" applyBorder="1"/>
    <xf numFmtId="0" fontId="24" fillId="0" borderId="0" xfId="35" applyFont="1" applyAlignment="1">
      <alignment horizontal="right"/>
    </xf>
    <xf numFmtId="0" fontId="24" fillId="0" borderId="0" xfId="36" applyFont="1" applyAlignment="1">
      <alignment horizontal="right"/>
    </xf>
    <xf numFmtId="14" fontId="25" fillId="0" borderId="0" xfId="30" applyNumberFormat="1" applyFont="1" applyFill="1" applyBorder="1"/>
    <xf numFmtId="0" fontId="24" fillId="0" borderId="0" xfId="36" applyFont="1"/>
    <xf numFmtId="164" fontId="25" fillId="0" borderId="0" xfId="30" applyNumberFormat="1" applyFont="1" applyFill="1" applyBorder="1" applyAlignment="1">
      <alignment horizontal="right"/>
    </xf>
    <xf numFmtId="0" fontId="24" fillId="0" borderId="0" xfId="0" applyFont="1"/>
    <xf numFmtId="0" fontId="14" fillId="9" borderId="17" xfId="0" applyFont="1" applyFill="1" applyBorder="1" applyAlignment="1">
      <alignment vertical="center" wrapText="1"/>
    </xf>
    <xf numFmtId="0" fontId="14" fillId="9" borderId="18" xfId="0" applyFont="1" applyFill="1" applyBorder="1" applyAlignment="1">
      <alignment vertical="center"/>
    </xf>
    <xf numFmtId="0" fontId="14" fillId="9" borderId="18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vertical="center"/>
    </xf>
    <xf numFmtId="0" fontId="14" fillId="9" borderId="8" xfId="0" applyFont="1" applyFill="1" applyBorder="1" applyAlignment="1">
      <alignment vertical="center" wrapText="1"/>
    </xf>
    <xf numFmtId="0" fontId="14" fillId="9" borderId="4" xfId="0" applyFont="1" applyFill="1" applyBorder="1" applyAlignment="1">
      <alignment vertical="center"/>
    </xf>
    <xf numFmtId="0" fontId="14" fillId="9" borderId="4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/>
    </xf>
    <xf numFmtId="10" fontId="15" fillId="0" borderId="6" xfId="33" applyNumberFormat="1" applyFont="1" applyFill="1" applyBorder="1" applyAlignment="1">
      <alignment vertical="center"/>
    </xf>
    <xf numFmtId="0" fontId="15" fillId="9" borderId="8" xfId="0" applyFont="1" applyFill="1" applyBorder="1" applyAlignment="1">
      <alignment horizontal="center" vertical="center"/>
    </xf>
    <xf numFmtId="0" fontId="14" fillId="9" borderId="4" xfId="0" applyFont="1" applyFill="1" applyBorder="1"/>
    <xf numFmtId="164" fontId="14" fillId="9" borderId="4" xfId="29" applyFont="1" applyFill="1" applyBorder="1" applyAlignment="1">
      <alignment horizontal="right"/>
    </xf>
    <xf numFmtId="0" fontId="15" fillId="5" borderId="4" xfId="0" applyFont="1" applyFill="1" applyBorder="1"/>
    <xf numFmtId="164" fontId="15" fillId="10" borderId="4" xfId="29" applyFont="1" applyFill="1" applyBorder="1" applyAlignment="1">
      <alignment horizontal="right"/>
    </xf>
    <xf numFmtId="0" fontId="15" fillId="9" borderId="15" xfId="0" applyFont="1" applyFill="1" applyBorder="1" applyAlignment="1">
      <alignment horizontal="center" vertical="center"/>
    </xf>
    <xf numFmtId="0" fontId="15" fillId="9" borderId="13" xfId="0" applyFont="1" applyFill="1" applyBorder="1"/>
    <xf numFmtId="164" fontId="14" fillId="9" borderId="13" xfId="29" applyFont="1" applyFill="1" applyBorder="1" applyAlignment="1">
      <alignment horizontal="right"/>
    </xf>
    <xf numFmtId="164" fontId="14" fillId="9" borderId="13" xfId="29" applyFont="1" applyFill="1" applyBorder="1" applyAlignment="1">
      <alignment horizontal="right" vertical="center"/>
    </xf>
    <xf numFmtId="10" fontId="14" fillId="9" borderId="14" xfId="33" applyNumberFormat="1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14" fillId="9" borderId="16" xfId="12" applyFont="1" applyFill="1" applyBorder="1" applyAlignment="1">
      <alignment horizontal="center" vertical="center" wrapText="1"/>
    </xf>
    <xf numFmtId="0" fontId="14" fillId="9" borderId="9" xfId="12" applyFont="1" applyFill="1" applyBorder="1" applyAlignment="1">
      <alignment horizontal="center" vertical="center"/>
    </xf>
    <xf numFmtId="0" fontId="14" fillId="9" borderId="9" xfId="21" applyFont="1" applyFill="1" applyBorder="1" applyAlignment="1">
      <alignment horizontal="center" vertical="center" wrapText="1"/>
    </xf>
    <xf numFmtId="0" fontId="14" fillId="9" borderId="12" xfId="21" applyFont="1" applyFill="1" applyBorder="1" applyAlignment="1">
      <alignment horizontal="center" vertical="center"/>
    </xf>
    <xf numFmtId="0" fontId="14" fillId="9" borderId="15" xfId="12" quotePrefix="1" applyFont="1" applyFill="1" applyBorder="1" applyAlignment="1">
      <alignment horizontal="center" vertical="top" wrapText="1"/>
    </xf>
    <xf numFmtId="0" fontId="14" fillId="9" borderId="13" xfId="12" quotePrefix="1" applyFont="1" applyFill="1" applyBorder="1" applyAlignment="1">
      <alignment horizontal="center" vertical="top" wrapText="1"/>
    </xf>
    <xf numFmtId="0" fontId="14" fillId="9" borderId="13" xfId="21" applyFont="1" applyFill="1" applyBorder="1" applyAlignment="1">
      <alignment horizontal="center" vertical="center"/>
    </xf>
    <xf numFmtId="0" fontId="14" fillId="9" borderId="14" xfId="12" quotePrefix="1" applyFont="1" applyFill="1" applyBorder="1" applyAlignment="1">
      <alignment horizontal="center" vertical="top" wrapText="1"/>
    </xf>
    <xf numFmtId="0" fontId="15" fillId="5" borderId="0" xfId="12" applyFont="1" applyFill="1" applyAlignment="1">
      <alignment vertical="top"/>
    </xf>
    <xf numFmtId="168" fontId="15" fillId="5" borderId="4" xfId="29" applyNumberFormat="1" applyFont="1" applyFill="1" applyBorder="1" applyAlignment="1">
      <alignment vertical="center"/>
    </xf>
    <xf numFmtId="0" fontId="14" fillId="5" borderId="0" xfId="12" applyFont="1" applyFill="1"/>
    <xf numFmtId="164" fontId="14" fillId="9" borderId="4" xfId="29" applyFont="1" applyFill="1" applyBorder="1" applyAlignment="1">
      <alignment vertical="center"/>
    </xf>
    <xf numFmtId="164" fontId="15" fillId="5" borderId="4" xfId="29" applyFont="1" applyFill="1" applyBorder="1" applyAlignment="1">
      <alignment vertical="center"/>
    </xf>
    <xf numFmtId="169" fontId="15" fillId="5" borderId="0" xfId="12" applyNumberFormat="1" applyFont="1" applyFill="1"/>
    <xf numFmtId="164" fontId="15" fillId="5" borderId="0" xfId="12" applyNumberFormat="1" applyFont="1" applyFill="1"/>
    <xf numFmtId="168" fontId="19" fillId="0" borderId="19" xfId="29" applyNumberFormat="1" applyFont="1" applyBorder="1"/>
    <xf numFmtId="168" fontId="19" fillId="0" borderId="6" xfId="29" applyNumberFormat="1" applyFont="1" applyBorder="1"/>
    <xf numFmtId="168" fontId="19" fillId="0" borderId="24" xfId="29" applyNumberFormat="1" applyFont="1" applyBorder="1"/>
    <xf numFmtId="168" fontId="19" fillId="9" borderId="43" xfId="29" applyNumberFormat="1" applyFont="1" applyFill="1" applyBorder="1"/>
    <xf numFmtId="0" fontId="27" fillId="0" borderId="25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1" fontId="27" fillId="0" borderId="26" xfId="0" applyNumberFormat="1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7" fillId="0" borderId="0" xfId="0" applyNumberFormat="1" applyFont="1" applyAlignment="1">
      <alignment horizontal="center"/>
    </xf>
    <xf numFmtId="164" fontId="19" fillId="0" borderId="6" xfId="29" applyFont="1" applyBorder="1"/>
    <xf numFmtId="164" fontId="19" fillId="0" borderId="23" xfId="29" applyFont="1" applyBorder="1"/>
    <xf numFmtId="164" fontId="19" fillId="0" borderId="24" xfId="29" applyFont="1" applyBorder="1"/>
    <xf numFmtId="164" fontId="19" fillId="9" borderId="42" xfId="29" applyFont="1" applyFill="1" applyBorder="1"/>
    <xf numFmtId="164" fontId="19" fillId="9" borderId="43" xfId="29" applyFont="1" applyFill="1" applyBorder="1"/>
    <xf numFmtId="164" fontId="19" fillId="9" borderId="9" xfId="29" applyFont="1" applyFill="1" applyBorder="1"/>
    <xf numFmtId="164" fontId="19" fillId="9" borderId="12" xfId="29" applyFont="1" applyFill="1" applyBorder="1"/>
    <xf numFmtId="164" fontId="19" fillId="11" borderId="13" xfId="29" applyFont="1" applyFill="1" applyBorder="1"/>
    <xf numFmtId="164" fontId="19" fillId="11" borderId="14" xfId="29" applyFont="1" applyFill="1" applyBorder="1"/>
    <xf numFmtId="2" fontId="27" fillId="0" borderId="26" xfId="0" applyNumberFormat="1" applyFont="1" applyBorder="1" applyAlignment="1">
      <alignment horizontal="center"/>
    </xf>
    <xf numFmtId="0" fontId="14" fillId="9" borderId="15" xfId="0" applyFont="1" applyFill="1" applyBorder="1" applyAlignment="1">
      <alignment horizontal="center"/>
    </xf>
    <xf numFmtId="0" fontId="14" fillId="9" borderId="13" xfId="0" applyFont="1" applyFill="1" applyBorder="1" applyAlignment="1">
      <alignment horizontal="center"/>
    </xf>
    <xf numFmtId="0" fontId="14" fillId="9" borderId="14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 wrapText="1"/>
    </xf>
    <xf numFmtId="164" fontId="15" fillId="0" borderId="4" xfId="0" applyNumberFormat="1" applyFont="1" applyBorder="1"/>
    <xf numFmtId="164" fontId="15" fillId="0" borderId="6" xfId="0" applyNumberFormat="1" applyFont="1" applyBorder="1"/>
    <xf numFmtId="0" fontId="15" fillId="5" borderId="4" xfId="0" applyFont="1" applyFill="1" applyBorder="1" applyAlignment="1">
      <alignment vertical="center"/>
    </xf>
    <xf numFmtId="164" fontId="15" fillId="5" borderId="4" xfId="0" applyNumberFormat="1" applyFont="1" applyFill="1" applyBorder="1"/>
    <xf numFmtId="164" fontId="15" fillId="5" borderId="6" xfId="0" applyNumberFormat="1" applyFont="1" applyFill="1" applyBorder="1"/>
    <xf numFmtId="0" fontId="15" fillId="5" borderId="44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vertical="center"/>
    </xf>
    <xf numFmtId="164" fontId="15" fillId="5" borderId="23" xfId="0" applyNumberFormat="1" applyFont="1" applyFill="1" applyBorder="1"/>
    <xf numFmtId="164" fontId="15" fillId="5" borderId="24" xfId="0" applyNumberFormat="1" applyFont="1" applyFill="1" applyBorder="1"/>
    <xf numFmtId="0" fontId="15" fillId="8" borderId="41" xfId="0" applyFont="1" applyFill="1" applyBorder="1" applyAlignment="1">
      <alignment horizontal="left"/>
    </xf>
    <xf numFmtId="0" fontId="14" fillId="8" borderId="42" xfId="0" applyFont="1" applyFill="1" applyBorder="1"/>
    <xf numFmtId="164" fontId="14" fillId="8" borderId="42" xfId="0" applyNumberFormat="1" applyFont="1" applyFill="1" applyBorder="1"/>
    <xf numFmtId="164" fontId="14" fillId="8" borderId="43" xfId="0" applyNumberFormat="1" applyFont="1" applyFill="1" applyBorder="1"/>
    <xf numFmtId="0" fontId="25" fillId="0" borderId="0" xfId="37" applyFont="1"/>
    <xf numFmtId="164" fontId="25" fillId="0" borderId="0" xfId="30" applyNumberFormat="1" applyFont="1" applyFill="1" applyBorder="1"/>
    <xf numFmtId="164" fontId="28" fillId="0" borderId="0" xfId="30" applyNumberFormat="1" applyFont="1" applyFill="1" applyBorder="1" applyAlignment="1">
      <alignment horizontal="right"/>
    </xf>
    <xf numFmtId="164" fontId="28" fillId="0" borderId="0" xfId="30" applyNumberFormat="1" applyFont="1" applyFill="1" applyBorder="1" applyAlignment="1"/>
    <xf numFmtId="164" fontId="28" fillId="0" borderId="0" xfId="30" applyNumberFormat="1" applyFont="1" applyFill="1" applyBorder="1" applyAlignment="1">
      <alignment horizontal="left"/>
    </xf>
    <xf numFmtId="0" fontId="15" fillId="9" borderId="8" xfId="27" applyFont="1" applyFill="1" applyBorder="1" applyAlignment="1">
      <alignment horizontal="center" vertical="center"/>
    </xf>
    <xf numFmtId="0" fontId="15" fillId="9" borderId="4" xfId="27" applyFont="1" applyFill="1" applyBorder="1" applyAlignment="1">
      <alignment horizontal="center" vertical="center"/>
    </xf>
    <xf numFmtId="0" fontId="15" fillId="9" borderId="6" xfId="27" applyFont="1" applyFill="1" applyBorder="1" applyAlignment="1">
      <alignment horizontal="center" vertical="center"/>
    </xf>
    <xf numFmtId="0" fontId="15" fillId="5" borderId="8" xfId="27" applyFont="1" applyFill="1" applyBorder="1" applyAlignment="1">
      <alignment horizontal="center"/>
    </xf>
    <xf numFmtId="0" fontId="15" fillId="5" borderId="4" xfId="27" applyFont="1" applyFill="1" applyBorder="1" applyAlignment="1">
      <alignment wrapText="1"/>
    </xf>
    <xf numFmtId="164" fontId="15" fillId="5" borderId="4" xfId="29" applyFont="1" applyFill="1" applyBorder="1"/>
    <xf numFmtId="164" fontId="15" fillId="5" borderId="6" xfId="29" applyFont="1" applyFill="1" applyBorder="1"/>
    <xf numFmtId="0" fontId="15" fillId="5" borderId="4" xfId="0" quotePrefix="1" applyFont="1" applyFill="1" applyBorder="1" applyAlignment="1">
      <alignment horizontal="left" wrapText="1"/>
    </xf>
    <xf numFmtId="0" fontId="19" fillId="0" borderId="6" xfId="0" applyFont="1" applyBorder="1"/>
    <xf numFmtId="0" fontId="15" fillId="9" borderId="8" xfId="0" applyFont="1" applyFill="1" applyBorder="1" applyAlignment="1">
      <alignment horizontal="center"/>
    </xf>
    <xf numFmtId="0" fontId="15" fillId="9" borderId="4" xfId="0" applyFont="1" applyFill="1" applyBorder="1"/>
    <xf numFmtId="164" fontId="15" fillId="9" borderId="4" xfId="29" applyFont="1" applyFill="1" applyBorder="1"/>
    <xf numFmtId="164" fontId="15" fillId="9" borderId="4" xfId="29" applyFont="1" applyFill="1" applyBorder="1" applyAlignment="1">
      <alignment horizontal="center"/>
    </xf>
    <xf numFmtId="164" fontId="15" fillId="9" borderId="6" xfId="29" applyFont="1" applyFill="1" applyBorder="1"/>
    <xf numFmtId="0" fontId="14" fillId="9" borderId="15" xfId="27" applyFont="1" applyFill="1" applyBorder="1" applyAlignment="1">
      <alignment horizontal="center"/>
    </xf>
    <xf numFmtId="0" fontId="14" fillId="9" borderId="13" xfId="27" applyFont="1" applyFill="1" applyBorder="1"/>
    <xf numFmtId="164" fontId="14" fillId="9" borderId="13" xfId="27" applyNumberFormat="1" applyFont="1" applyFill="1" applyBorder="1"/>
    <xf numFmtId="164" fontId="14" fillId="9" borderId="13" xfId="27" applyNumberFormat="1" applyFont="1" applyFill="1" applyBorder="1" applyAlignment="1">
      <alignment horizontal="center"/>
    </xf>
    <xf numFmtId="164" fontId="14" fillId="9" borderId="14" xfId="27" applyNumberFormat="1" applyFont="1" applyFill="1" applyBorder="1"/>
    <xf numFmtId="0" fontId="14" fillId="9" borderId="8" xfId="12" applyFont="1" applyFill="1" applyBorder="1" applyAlignment="1">
      <alignment horizontal="center" vertical="center" wrapText="1"/>
    </xf>
    <xf numFmtId="0" fontId="14" fillId="9" borderId="4" xfId="12" applyFont="1" applyFill="1" applyBorder="1" applyAlignment="1">
      <alignment horizontal="center" vertical="center" wrapText="1"/>
    </xf>
    <xf numFmtId="0" fontId="14" fillId="9" borderId="4" xfId="12" applyFont="1" applyFill="1" applyBorder="1" applyAlignment="1">
      <alignment horizontal="center" vertical="center" textRotation="90" wrapText="1"/>
    </xf>
    <xf numFmtId="0" fontId="19" fillId="9" borderId="6" xfId="0" applyFont="1" applyFill="1" applyBorder="1"/>
    <xf numFmtId="0" fontId="14" fillId="9" borderId="8" xfId="12" applyFont="1" applyFill="1" applyBorder="1" applyAlignment="1">
      <alignment horizontal="left" vertical="top" wrapText="1"/>
    </xf>
    <xf numFmtId="0" fontId="14" fillId="9" borderId="4" xfId="12" applyFont="1" applyFill="1" applyBorder="1" applyAlignment="1">
      <alignment horizontal="left" vertical="top" wrapText="1"/>
    </xf>
    <xf numFmtId="0" fontId="14" fillId="9" borderId="4" xfId="12" applyFont="1" applyFill="1" applyBorder="1" applyAlignment="1">
      <alignment horizontal="center" vertical="top" wrapText="1"/>
    </xf>
    <xf numFmtId="0" fontId="15" fillId="5" borderId="8" xfId="12" applyFont="1" applyFill="1" applyBorder="1" applyAlignment="1">
      <alignment horizontal="left" vertical="center"/>
    </xf>
    <xf numFmtId="0" fontId="19" fillId="0" borderId="4" xfId="0" applyFont="1" applyBorder="1" applyAlignment="1">
      <alignment horizontal="center"/>
    </xf>
    <xf numFmtId="164" fontId="15" fillId="5" borderId="4" xfId="29" quotePrefix="1" applyFont="1" applyFill="1" applyBorder="1" applyAlignment="1">
      <alignment vertical="top" wrapText="1"/>
    </xf>
    <xf numFmtId="168" fontId="15" fillId="5" borderId="4" xfId="29" applyNumberFormat="1" applyFont="1" applyFill="1" applyBorder="1" applyAlignment="1"/>
    <xf numFmtId="164" fontId="15" fillId="5" borderId="4" xfId="29" applyFont="1" applyFill="1" applyBorder="1" applyAlignment="1"/>
    <xf numFmtId="0" fontId="19" fillId="0" borderId="8" xfId="0" applyFont="1" applyBorder="1" applyAlignment="1">
      <alignment horizontal="left" vertical="center"/>
    </xf>
    <xf numFmtId="168" fontId="15" fillId="5" borderId="4" xfId="29" applyNumberFormat="1" applyFont="1" applyFill="1" applyBorder="1" applyAlignment="1">
      <alignment horizontal="center" vertical="top" wrapText="1"/>
    </xf>
    <xf numFmtId="0" fontId="19" fillId="9" borderId="8" xfId="0" applyFont="1" applyFill="1" applyBorder="1" applyAlignment="1">
      <alignment horizontal="left" vertical="center"/>
    </xf>
    <xf numFmtId="0" fontId="19" fillId="9" borderId="4" xfId="0" applyFont="1" applyFill="1" applyBorder="1" applyAlignment="1">
      <alignment horizontal="center"/>
    </xf>
    <xf numFmtId="0" fontId="19" fillId="9" borderId="4" xfId="0" applyFont="1" applyFill="1" applyBorder="1"/>
    <xf numFmtId="168" fontId="19" fillId="9" borderId="4" xfId="29" applyNumberFormat="1" applyFont="1" applyFill="1" applyBorder="1"/>
    <xf numFmtId="164" fontId="19" fillId="9" borderId="4" xfId="29" applyFont="1" applyFill="1" applyBorder="1"/>
    <xf numFmtId="0" fontId="19" fillId="0" borderId="8" xfId="0" applyFont="1" applyBorder="1"/>
    <xf numFmtId="164" fontId="15" fillId="5" borderId="4" xfId="29" applyFont="1" applyFill="1" applyBorder="1" applyAlignment="1">
      <alignment horizontal="center" vertical="top" wrapText="1"/>
    </xf>
    <xf numFmtId="164" fontId="15" fillId="5" borderId="4" xfId="29" applyFont="1" applyFill="1" applyBorder="1" applyAlignment="1">
      <alignment vertical="top"/>
    </xf>
    <xf numFmtId="0" fontId="16" fillId="9" borderId="8" xfId="0" applyFont="1" applyFill="1" applyBorder="1"/>
    <xf numFmtId="0" fontId="16" fillId="9" borderId="4" xfId="0" applyFont="1" applyFill="1" applyBorder="1"/>
    <xf numFmtId="168" fontId="16" fillId="9" borderId="4" xfId="29" applyNumberFormat="1" applyFont="1" applyFill="1" applyBorder="1"/>
    <xf numFmtId="164" fontId="16" fillId="9" borderId="4" xfId="29" applyFont="1" applyFill="1" applyBorder="1" applyAlignment="1">
      <alignment horizontal="right"/>
    </xf>
    <xf numFmtId="164" fontId="16" fillId="9" borderId="4" xfId="29" applyFont="1" applyFill="1" applyBorder="1"/>
    <xf numFmtId="0" fontId="16" fillId="9" borderId="6" xfId="0" applyFont="1" applyFill="1" applyBorder="1"/>
    <xf numFmtId="0" fontId="16" fillId="10" borderId="8" xfId="0" applyFont="1" applyFill="1" applyBorder="1"/>
    <xf numFmtId="0" fontId="16" fillId="10" borderId="4" xfId="0" applyFont="1" applyFill="1" applyBorder="1"/>
    <xf numFmtId="164" fontId="16" fillId="10" borderId="4" xfId="29" applyFont="1" applyFill="1" applyBorder="1"/>
    <xf numFmtId="0" fontId="19" fillId="10" borderId="6" xfId="0" applyFont="1" applyFill="1" applyBorder="1"/>
    <xf numFmtId="0" fontId="19" fillId="0" borderId="15" xfId="0" applyFont="1" applyBorder="1"/>
    <xf numFmtId="0" fontId="19" fillId="0" borderId="13" xfId="0" applyFont="1" applyBorder="1"/>
    <xf numFmtId="168" fontId="19" fillId="0" borderId="13" xfId="29" applyNumberFormat="1" applyFont="1" applyFill="1" applyBorder="1"/>
    <xf numFmtId="164" fontId="19" fillId="0" borderId="13" xfId="29" applyFont="1" applyFill="1" applyBorder="1"/>
    <xf numFmtId="0" fontId="19" fillId="0" borderId="14" xfId="0" applyFont="1" applyBorder="1"/>
    <xf numFmtId="0" fontId="19" fillId="0" borderId="6" xfId="0" applyFont="1" applyBorder="1" applyAlignment="1">
      <alignment horizontal="center"/>
    </xf>
    <xf numFmtId="0" fontId="29" fillId="9" borderId="12" xfId="21" applyFont="1" applyFill="1" applyBorder="1" applyAlignment="1">
      <alignment horizontal="center" vertical="center"/>
    </xf>
    <xf numFmtId="0" fontId="29" fillId="9" borderId="4" xfId="21" applyFont="1" applyFill="1" applyBorder="1" applyAlignment="1">
      <alignment horizontal="center" vertical="center" wrapText="1"/>
    </xf>
    <xf numFmtId="0" fontId="29" fillId="9" borderId="6" xfId="21" applyFont="1" applyFill="1" applyBorder="1" applyAlignment="1">
      <alignment horizontal="center" vertical="center"/>
    </xf>
    <xf numFmtId="0" fontId="29" fillId="9" borderId="15" xfId="12" applyFont="1" applyFill="1" applyBorder="1" applyAlignment="1">
      <alignment horizontal="center" vertical="center" wrapText="1"/>
    </xf>
    <xf numFmtId="0" fontId="29" fillId="9" borderId="13" xfId="12" applyFont="1" applyFill="1" applyBorder="1" applyAlignment="1">
      <alignment horizontal="center" vertical="center"/>
    </xf>
    <xf numFmtId="0" fontId="29" fillId="9" borderId="13" xfId="12" applyFont="1" applyFill="1" applyBorder="1" applyAlignment="1">
      <alignment horizontal="center" vertical="center" wrapText="1"/>
    </xf>
    <xf numFmtId="0" fontId="29" fillId="9" borderId="14" xfId="12" applyFont="1" applyFill="1" applyBorder="1" applyAlignment="1">
      <alignment horizontal="center" vertical="center" wrapText="1"/>
    </xf>
    <xf numFmtId="0" fontId="13" fillId="5" borderId="17" xfId="12" applyFont="1" applyFill="1" applyBorder="1" applyAlignment="1">
      <alignment horizontal="center" vertical="center"/>
    </xf>
    <xf numFmtId="0" fontId="13" fillId="5" borderId="18" xfId="12" applyFont="1" applyFill="1" applyBorder="1" applyAlignment="1">
      <alignment horizontal="left" vertical="center" wrapText="1"/>
    </xf>
    <xf numFmtId="0" fontId="13" fillId="5" borderId="18" xfId="12" applyFont="1" applyFill="1" applyBorder="1" applyAlignment="1">
      <alignment horizontal="center"/>
    </xf>
    <xf numFmtId="164" fontId="13" fillId="5" borderId="18" xfId="29" applyFont="1" applyFill="1" applyBorder="1" applyAlignment="1">
      <alignment vertical="center" wrapText="1"/>
    </xf>
    <xf numFmtId="0" fontId="13" fillId="5" borderId="19" xfId="21" applyFont="1" applyFill="1" applyBorder="1">
      <alignment vertical="center"/>
    </xf>
    <xf numFmtId="0" fontId="13" fillId="5" borderId="8" xfId="12" applyFont="1" applyFill="1" applyBorder="1" applyAlignment="1">
      <alignment horizontal="center" vertical="center"/>
    </xf>
    <xf numFmtId="0" fontId="13" fillId="5" borderId="4" xfId="12" applyFont="1" applyFill="1" applyBorder="1" applyAlignment="1">
      <alignment horizontal="left" vertical="center" wrapText="1"/>
    </xf>
    <xf numFmtId="0" fontId="13" fillId="5" borderId="4" xfId="12" applyFont="1" applyFill="1" applyBorder="1" applyAlignment="1">
      <alignment horizontal="center"/>
    </xf>
    <xf numFmtId="164" fontId="13" fillId="5" borderId="4" xfId="29" applyFont="1" applyFill="1" applyBorder="1" applyAlignment="1">
      <alignment vertical="center" wrapText="1"/>
    </xf>
    <xf numFmtId="0" fontId="13" fillId="5" borderId="6" xfId="21" applyFont="1" applyFill="1" applyBorder="1">
      <alignment vertical="center"/>
    </xf>
    <xf numFmtId="0" fontId="29" fillId="9" borderId="8" xfId="12" applyFont="1" applyFill="1" applyBorder="1" applyAlignment="1">
      <alignment horizontal="center" vertical="center"/>
    </xf>
    <xf numFmtId="0" fontId="29" fillId="9" borderId="4" xfId="12" applyFont="1" applyFill="1" applyBorder="1" applyAlignment="1">
      <alignment horizontal="left" vertical="center"/>
    </xf>
    <xf numFmtId="0" fontId="29" fillId="9" borderId="4" xfId="12" applyFont="1" applyFill="1" applyBorder="1" applyAlignment="1">
      <alignment horizontal="center" wrapText="1"/>
    </xf>
    <xf numFmtId="164" fontId="29" fillId="9" borderId="4" xfId="29" applyFont="1" applyFill="1" applyBorder="1" applyAlignment="1">
      <alignment vertical="center" wrapText="1"/>
    </xf>
    <xf numFmtId="0" fontId="29" fillId="9" borderId="6" xfId="21" applyFont="1" applyFill="1" applyBorder="1">
      <alignment vertical="center"/>
    </xf>
    <xf numFmtId="0" fontId="29" fillId="9" borderId="8" xfId="15" applyFont="1" applyFill="1" applyBorder="1" applyAlignment="1">
      <alignment horizontal="center" vertical="center"/>
    </xf>
    <xf numFmtId="0" fontId="29" fillId="9" borderId="4" xfId="15" applyFont="1" applyFill="1" applyBorder="1" applyAlignment="1">
      <alignment horizontal="center" vertical="center"/>
    </xf>
    <xf numFmtId="0" fontId="29" fillId="9" borderId="4" xfId="12" applyFont="1" applyFill="1" applyBorder="1" applyAlignment="1">
      <alignment horizontal="center" vertical="center"/>
    </xf>
    <xf numFmtId="0" fontId="29" fillId="9" borderId="6" xfId="15" applyFont="1" applyFill="1" applyBorder="1" applyAlignment="1">
      <alignment horizontal="center" vertical="center"/>
    </xf>
    <xf numFmtId="0" fontId="13" fillId="5" borderId="8" xfId="15" applyFont="1" applyFill="1" applyBorder="1" applyAlignment="1">
      <alignment horizontal="center" vertical="center"/>
    </xf>
    <xf numFmtId="0" fontId="30" fillId="7" borderId="4" xfId="15" applyFont="1" applyFill="1" applyBorder="1" applyAlignment="1">
      <alignment horizontal="left" vertical="top"/>
    </xf>
    <xf numFmtId="168" fontId="13" fillId="5" borderId="4" xfId="29" applyNumberFormat="1" applyFont="1" applyFill="1" applyBorder="1" applyAlignment="1">
      <alignment vertical="center"/>
    </xf>
    <xf numFmtId="0" fontId="13" fillId="5" borderId="6" xfId="15" applyFont="1" applyFill="1" applyBorder="1" applyAlignment="1">
      <alignment vertical="center"/>
    </xf>
    <xf numFmtId="0" fontId="24" fillId="9" borderId="4" xfId="15" applyFont="1" applyFill="1" applyBorder="1" applyAlignment="1">
      <alignment horizontal="left" vertical="top"/>
    </xf>
    <xf numFmtId="168" fontId="24" fillId="9" borderId="4" xfId="29" applyNumberFormat="1" applyFont="1" applyFill="1" applyBorder="1" applyAlignment="1">
      <alignment horizontal="right" vertical="top"/>
    </xf>
    <xf numFmtId="0" fontId="13" fillId="9" borderId="6" xfId="15" applyFont="1" applyFill="1" applyBorder="1" applyAlignment="1">
      <alignment vertical="center"/>
    </xf>
    <xf numFmtId="0" fontId="29" fillId="5" borderId="8" xfId="15" applyFont="1" applyFill="1" applyBorder="1" applyAlignment="1">
      <alignment horizontal="center" vertical="center"/>
    </xf>
    <xf numFmtId="0" fontId="24" fillId="0" borderId="4" xfId="15" applyFont="1" applyBorder="1" applyAlignment="1">
      <alignment horizontal="left" vertical="top"/>
    </xf>
    <xf numFmtId="0" fontId="30" fillId="0" borderId="4" xfId="15" applyFont="1" applyBorder="1" applyAlignment="1">
      <alignment horizontal="left" vertical="top"/>
    </xf>
    <xf numFmtId="168" fontId="13" fillId="5" borderId="4" xfId="29" applyNumberFormat="1" applyFont="1" applyFill="1" applyBorder="1" applyAlignment="1">
      <alignment horizontal="right" vertical="center"/>
    </xf>
    <xf numFmtId="0" fontId="24" fillId="0" borderId="6" xfId="15" applyFont="1" applyBorder="1" applyAlignment="1">
      <alignment horizontal="left" vertical="top"/>
    </xf>
    <xf numFmtId="0" fontId="29" fillId="9" borderId="15" xfId="15" applyFont="1" applyFill="1" applyBorder="1" applyAlignment="1">
      <alignment horizontal="center" vertical="center"/>
    </xf>
    <xf numFmtId="0" fontId="24" fillId="9" borderId="13" xfId="15" applyFont="1" applyFill="1" applyBorder="1" applyAlignment="1">
      <alignment horizontal="left" vertical="top"/>
    </xf>
    <xf numFmtId="168" fontId="24" fillId="9" borderId="13" xfId="29" applyNumberFormat="1" applyFont="1" applyFill="1" applyBorder="1" applyAlignment="1">
      <alignment horizontal="right" vertical="top"/>
    </xf>
    <xf numFmtId="0" fontId="13" fillId="9" borderId="14" xfId="15" applyFont="1" applyFill="1" applyBorder="1" applyAlignment="1">
      <alignment vertical="center"/>
    </xf>
    <xf numFmtId="0" fontId="29" fillId="9" borderId="19" xfId="15" applyFont="1" applyFill="1" applyBorder="1" applyAlignment="1">
      <alignment horizontal="center" vertical="center"/>
    </xf>
    <xf numFmtId="0" fontId="29" fillId="9" borderId="13" xfId="15" applyFont="1" applyFill="1" applyBorder="1" applyAlignment="1">
      <alignment horizontal="center" vertical="center"/>
    </xf>
    <xf numFmtId="0" fontId="29" fillId="9" borderId="14" xfId="15" applyFont="1" applyFill="1" applyBorder="1" applyAlignment="1">
      <alignment horizontal="center" vertical="center"/>
    </xf>
    <xf numFmtId="0" fontId="13" fillId="5" borderId="17" xfId="15" applyFont="1" applyFill="1" applyBorder="1" applyAlignment="1">
      <alignment horizontal="center" vertical="center"/>
    </xf>
    <xf numFmtId="0" fontId="30" fillId="7" borderId="18" xfId="15" applyFont="1" applyFill="1" applyBorder="1" applyAlignment="1">
      <alignment horizontal="left" vertical="top"/>
    </xf>
    <xf numFmtId="0" fontId="13" fillId="5" borderId="19" xfId="15" applyFont="1" applyFill="1" applyBorder="1" applyAlignment="1">
      <alignment vertical="center"/>
    </xf>
    <xf numFmtId="168" fontId="13" fillId="0" borderId="4" xfId="29" applyNumberFormat="1" applyFont="1" applyBorder="1"/>
    <xf numFmtId="0" fontId="13" fillId="9" borderId="8" xfId="15" applyFont="1" applyFill="1" applyBorder="1" applyAlignment="1">
      <alignment horizontal="center" vertical="center"/>
    </xf>
    <xf numFmtId="168" fontId="29" fillId="9" borderId="4" xfId="29" applyNumberFormat="1" applyFont="1" applyFill="1" applyBorder="1" applyAlignment="1">
      <alignment vertical="center"/>
    </xf>
    <xf numFmtId="0" fontId="24" fillId="5" borderId="4" xfId="15" applyFont="1" applyFill="1" applyBorder="1" applyAlignment="1">
      <alignment horizontal="left" vertical="top"/>
    </xf>
    <xf numFmtId="0" fontId="13" fillId="9" borderId="15" xfId="15" applyFont="1" applyFill="1" applyBorder="1" applyAlignment="1">
      <alignment horizontal="center" vertical="center"/>
    </xf>
    <xf numFmtId="168" fontId="29" fillId="9" borderId="13" xfId="29" applyNumberFormat="1" applyFont="1" applyFill="1" applyBorder="1" applyAlignment="1">
      <alignment vertical="center"/>
    </xf>
    <xf numFmtId="168" fontId="29" fillId="9" borderId="13" xfId="29" applyNumberFormat="1" applyFont="1" applyFill="1" applyBorder="1"/>
    <xf numFmtId="0" fontId="13" fillId="0" borderId="4" xfId="15" applyFont="1" applyBorder="1" applyAlignment="1">
      <alignment horizontal="left" vertical="center"/>
    </xf>
    <xf numFmtId="0" fontId="29" fillId="0" borderId="4" xfId="15" applyFont="1" applyBorder="1" applyAlignment="1">
      <alignment horizontal="center" vertical="center"/>
    </xf>
    <xf numFmtId="0" fontId="29" fillId="0" borderId="6" xfId="15" applyFont="1" applyBorder="1" applyAlignment="1">
      <alignment horizontal="center" vertical="center"/>
    </xf>
    <xf numFmtId="0" fontId="24" fillId="9" borderId="4" xfId="12" applyFont="1" applyFill="1" applyBorder="1" applyAlignment="1">
      <alignment horizontal="left"/>
    </xf>
    <xf numFmtId="0" fontId="30" fillId="0" borderId="4" xfId="12" applyFont="1" applyBorder="1" applyAlignment="1">
      <alignment horizontal="left"/>
    </xf>
    <xf numFmtId="0" fontId="24" fillId="9" borderId="13" xfId="12" applyFont="1" applyFill="1" applyBorder="1" applyAlignment="1">
      <alignment horizontal="left"/>
    </xf>
    <xf numFmtId="14" fontId="30" fillId="0" borderId="0" xfId="30" applyNumberFormat="1" applyFont="1" applyFill="1" applyBorder="1"/>
    <xf numFmtId="0" fontId="30" fillId="0" borderId="0" xfId="37" applyFont="1"/>
    <xf numFmtId="164" fontId="30" fillId="0" borderId="0" xfId="30" applyNumberFormat="1" applyFont="1" applyFill="1" applyBorder="1" applyAlignment="1">
      <alignment horizontal="right"/>
    </xf>
    <xf numFmtId="164" fontId="30" fillId="0" borderId="0" xfId="30" applyNumberFormat="1" applyFont="1" applyFill="1" applyBorder="1"/>
    <xf numFmtId="164" fontId="24" fillId="0" borderId="0" xfId="30" applyNumberFormat="1" applyFont="1" applyFill="1" applyBorder="1" applyAlignment="1">
      <alignment horizontal="right"/>
    </xf>
    <xf numFmtId="164" fontId="24" fillId="0" borderId="0" xfId="30" applyNumberFormat="1" applyFont="1" applyFill="1" applyBorder="1" applyAlignment="1"/>
    <xf numFmtId="164" fontId="24" fillId="0" borderId="0" xfId="30" applyNumberFormat="1" applyFont="1" applyFill="1" applyBorder="1" applyAlignment="1">
      <alignment horizontal="left"/>
    </xf>
    <xf numFmtId="9" fontId="13" fillId="0" borderId="0" xfId="33" applyFont="1"/>
    <xf numFmtId="0" fontId="16" fillId="9" borderId="15" xfId="0" applyFont="1" applyFill="1" applyBorder="1" applyAlignment="1">
      <alignment horizontal="center"/>
    </xf>
    <xf numFmtId="0" fontId="19" fillId="5" borderId="16" xfId="0" applyFont="1" applyFill="1" applyBorder="1" applyAlignment="1">
      <alignment horizontal="center"/>
    </xf>
    <xf numFmtId="0" fontId="19" fillId="0" borderId="9" xfId="0" applyFont="1" applyBorder="1"/>
    <xf numFmtId="0" fontId="19" fillId="5" borderId="9" xfId="0" applyFont="1" applyFill="1" applyBorder="1"/>
    <xf numFmtId="168" fontId="19" fillId="5" borderId="9" xfId="29" applyNumberFormat="1" applyFont="1" applyFill="1" applyBorder="1"/>
    <xf numFmtId="168" fontId="19" fillId="5" borderId="18" xfId="29" applyNumberFormat="1" applyFont="1" applyFill="1" applyBorder="1"/>
    <xf numFmtId="168" fontId="19" fillId="5" borderId="19" xfId="29" applyNumberFormat="1" applyFont="1" applyFill="1" applyBorder="1"/>
    <xf numFmtId="0" fontId="19" fillId="5" borderId="8" xfId="0" applyFont="1" applyFill="1" applyBorder="1" applyAlignment="1">
      <alignment horizontal="center"/>
    </xf>
    <xf numFmtId="0" fontId="15" fillId="0" borderId="4" xfId="12" applyFont="1" applyBorder="1"/>
    <xf numFmtId="0" fontId="19" fillId="5" borderId="4" xfId="0" applyFont="1" applyFill="1" applyBorder="1"/>
    <xf numFmtId="168" fontId="19" fillId="5" borderId="4" xfId="29" applyNumberFormat="1" applyFont="1" applyFill="1" applyBorder="1"/>
    <xf numFmtId="168" fontId="19" fillId="5" borderId="6" xfId="29" applyNumberFormat="1" applyFont="1" applyFill="1" applyBorder="1"/>
    <xf numFmtId="0" fontId="19" fillId="0" borderId="4" xfId="0" applyFont="1" applyBorder="1" applyAlignment="1">
      <alignment horizontal="left"/>
    </xf>
    <xf numFmtId="0" fontId="19" fillId="5" borderId="15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left"/>
    </xf>
    <xf numFmtId="0" fontId="16" fillId="5" borderId="13" xfId="0" applyFont="1" applyFill="1" applyBorder="1"/>
    <xf numFmtId="168" fontId="16" fillId="5" borderId="13" xfId="29" applyNumberFormat="1" applyFont="1" applyFill="1" applyBorder="1"/>
    <xf numFmtId="168" fontId="16" fillId="5" borderId="14" xfId="29" applyNumberFormat="1" applyFont="1" applyFill="1" applyBorder="1"/>
    <xf numFmtId="0" fontId="19" fillId="9" borderId="15" xfId="0" applyFont="1" applyFill="1" applyBorder="1" applyAlignment="1">
      <alignment horizontal="center"/>
    </xf>
    <xf numFmtId="0" fontId="16" fillId="9" borderId="13" xfId="0" applyFont="1" applyFill="1" applyBorder="1" applyAlignment="1">
      <alignment horizontal="left"/>
    </xf>
    <xf numFmtId="168" fontId="16" fillId="9" borderId="13" xfId="29" applyNumberFormat="1" applyFont="1" applyFill="1" applyBorder="1"/>
    <xf numFmtId="168" fontId="16" fillId="9" borderId="14" xfId="29" applyNumberFormat="1" applyFont="1" applyFill="1" applyBorder="1"/>
    <xf numFmtId="0" fontId="16" fillId="9" borderId="4" xfId="21" applyFont="1" applyFill="1" applyBorder="1" applyAlignment="1">
      <alignment horizontal="center" vertical="center" wrapText="1"/>
    </xf>
    <xf numFmtId="0" fontId="16" fillId="9" borderId="6" xfId="21" applyFont="1" applyFill="1" applyBorder="1" applyAlignment="1">
      <alignment horizontal="center" vertical="center" wrapText="1"/>
    </xf>
    <xf numFmtId="0" fontId="14" fillId="9" borderId="8" xfId="27" applyFont="1" applyFill="1" applyBorder="1" applyAlignment="1">
      <alignment horizontal="center"/>
    </xf>
    <xf numFmtId="0" fontId="14" fillId="9" borderId="4" xfId="27" applyFont="1" applyFill="1" applyBorder="1" applyAlignment="1">
      <alignment horizontal="center"/>
    </xf>
    <xf numFmtId="0" fontId="14" fillId="9" borderId="6" xfId="27" applyFont="1" applyFill="1" applyBorder="1" applyAlignment="1">
      <alignment horizontal="center"/>
    </xf>
    <xf numFmtId="0" fontId="19" fillId="10" borderId="44" xfId="0" applyFont="1" applyFill="1" applyBorder="1" applyAlignment="1">
      <alignment horizontal="center"/>
    </xf>
    <xf numFmtId="0" fontId="16" fillId="10" borderId="23" xfId="0" applyFont="1" applyFill="1" applyBorder="1"/>
    <xf numFmtId="0" fontId="16" fillId="10" borderId="13" xfId="0" applyFont="1" applyFill="1" applyBorder="1"/>
    <xf numFmtId="0" fontId="15" fillId="10" borderId="23" xfId="27" applyFont="1" applyFill="1" applyBorder="1"/>
    <xf numFmtId="0" fontId="15" fillId="10" borderId="24" xfId="27" applyFont="1" applyFill="1" applyBorder="1"/>
    <xf numFmtId="0" fontId="19" fillId="0" borderId="16" xfId="0" applyFont="1" applyBorder="1" applyAlignment="1">
      <alignment horizontal="right" vertical="center"/>
    </xf>
    <xf numFmtId="164" fontId="15" fillId="0" borderId="18" xfId="29" applyFont="1" applyFill="1" applyBorder="1"/>
    <xf numFmtId="0" fontId="15" fillId="5" borderId="9" xfId="27" applyFont="1" applyFill="1" applyBorder="1"/>
    <xf numFmtId="164" fontId="15" fillId="5" borderId="12" xfId="27" applyNumberFormat="1" applyFont="1" applyFill="1" applyBorder="1"/>
    <xf numFmtId="0" fontId="19" fillId="0" borderId="8" xfId="0" applyFont="1" applyBorder="1" applyAlignment="1">
      <alignment horizontal="right" vertical="center"/>
    </xf>
    <xf numFmtId="164" fontId="15" fillId="0" borderId="4" xfId="29" applyFont="1" applyFill="1" applyBorder="1"/>
    <xf numFmtId="0" fontId="15" fillId="5" borderId="4" xfId="27" applyFont="1" applyFill="1" applyBorder="1"/>
    <xf numFmtId="164" fontId="15" fillId="5" borderId="6" xfId="27" applyNumberFormat="1" applyFont="1" applyFill="1" applyBorder="1"/>
    <xf numFmtId="164" fontId="15" fillId="0" borderId="4" xfId="29" applyFont="1" applyFill="1" applyBorder="1" applyAlignment="1">
      <alignment horizontal="right"/>
    </xf>
    <xf numFmtId="0" fontId="31" fillId="0" borderId="4" xfId="0" applyFont="1" applyBorder="1"/>
    <xf numFmtId="164" fontId="15" fillId="5" borderId="6" xfId="27" applyNumberFormat="1" applyFont="1" applyFill="1" applyBorder="1" applyAlignment="1">
      <alignment horizontal="right"/>
    </xf>
    <xf numFmtId="0" fontId="16" fillId="10" borderId="8" xfId="0" applyFont="1" applyFill="1" applyBorder="1" applyAlignment="1">
      <alignment horizontal="center" vertical="center"/>
    </xf>
    <xf numFmtId="164" fontId="15" fillId="10" borderId="4" xfId="29" applyFont="1" applyFill="1" applyBorder="1" applyAlignment="1">
      <alignment horizontal="right" wrapText="1"/>
    </xf>
    <xf numFmtId="0" fontId="15" fillId="10" borderId="4" xfId="27" applyFont="1" applyFill="1" applyBorder="1"/>
    <xf numFmtId="0" fontId="15" fillId="10" borderId="6" xfId="27" applyFont="1" applyFill="1" applyBorder="1"/>
    <xf numFmtId="164" fontId="15" fillId="5" borderId="4" xfId="27" applyNumberFormat="1" applyFont="1" applyFill="1" applyBorder="1"/>
    <xf numFmtId="0" fontId="15" fillId="5" borderId="20" xfId="27" applyFont="1" applyFill="1" applyBorder="1"/>
    <xf numFmtId="164" fontId="15" fillId="0" borderId="4" xfId="29" applyFont="1" applyFill="1" applyBorder="1" applyAlignment="1">
      <alignment horizontal="right" wrapText="1"/>
    </xf>
    <xf numFmtId="164" fontId="15" fillId="5" borderId="6" xfId="27" applyNumberFormat="1" applyFont="1" applyFill="1" applyBorder="1" applyAlignment="1">
      <alignment wrapText="1"/>
    </xf>
    <xf numFmtId="164" fontId="15" fillId="10" borderId="4" xfId="29" applyFont="1" applyFill="1" applyBorder="1"/>
    <xf numFmtId="0" fontId="15" fillId="0" borderId="4" xfId="27" applyFont="1" applyBorder="1"/>
    <xf numFmtId="164" fontId="15" fillId="0" borderId="6" xfId="29" applyFont="1" applyFill="1" applyBorder="1"/>
    <xf numFmtId="164" fontId="14" fillId="9" borderId="4" xfId="29" quotePrefix="1" applyFont="1" applyFill="1" applyBorder="1" applyAlignment="1">
      <alignment horizontal="right"/>
    </xf>
    <xf numFmtId="2" fontId="14" fillId="9" borderId="4" xfId="27" applyNumberFormat="1" applyFont="1" applyFill="1" applyBorder="1" applyAlignment="1">
      <alignment horizontal="right"/>
    </xf>
    <xf numFmtId="164" fontId="14" fillId="9" borderId="6" xfId="29" quotePrefix="1" applyFont="1" applyFill="1" applyBorder="1" applyAlignment="1">
      <alignment horizontal="right"/>
    </xf>
    <xf numFmtId="10" fontId="15" fillId="0" borderId="13" xfId="33" applyNumberFormat="1" applyFont="1" applyFill="1" applyBorder="1"/>
    <xf numFmtId="10" fontId="15" fillId="0" borderId="13" xfId="33" applyNumberFormat="1" applyFont="1" applyBorder="1"/>
    <xf numFmtId="0" fontId="16" fillId="9" borderId="19" xfId="14" applyFont="1" applyFill="1" applyBorder="1" applyAlignment="1">
      <alignment horizontal="center" vertical="center" wrapText="1"/>
    </xf>
    <xf numFmtId="0" fontId="16" fillId="9" borderId="4" xfId="12" applyFont="1" applyFill="1" applyBorder="1" applyAlignment="1">
      <alignment horizontal="center" wrapText="1"/>
    </xf>
    <xf numFmtId="0" fontId="16" fillId="9" borderId="6" xfId="14" applyFont="1" applyFill="1" applyBorder="1" applyAlignment="1">
      <alignment horizontal="center" vertical="center" wrapText="1"/>
    </xf>
    <xf numFmtId="0" fontId="16" fillId="9" borderId="8" xfId="12" applyFont="1" applyFill="1" applyBorder="1" applyAlignment="1">
      <alignment horizontal="center" vertical="center" wrapText="1"/>
    </xf>
    <xf numFmtId="0" fontId="16" fillId="9" borderId="4" xfId="12" applyFont="1" applyFill="1" applyBorder="1" applyAlignment="1">
      <alignment horizontal="center" vertical="center" wrapText="1"/>
    </xf>
    <xf numFmtId="0" fontId="16" fillId="9" borderId="6" xfId="12" applyFont="1" applyFill="1" applyBorder="1" applyAlignment="1">
      <alignment horizontal="center" vertical="center" wrapText="1"/>
    </xf>
    <xf numFmtId="0" fontId="19" fillId="5" borderId="8" xfId="12" applyFont="1" applyFill="1" applyBorder="1" applyAlignment="1">
      <alignment horizontal="center" vertical="center" wrapText="1"/>
    </xf>
    <xf numFmtId="0" fontId="19" fillId="5" borderId="4" xfId="12" applyFont="1" applyFill="1" applyBorder="1" applyAlignment="1">
      <alignment horizontal="left" vertical="center" wrapText="1" indent="1"/>
    </xf>
    <xf numFmtId="164" fontId="19" fillId="5" borderId="4" xfId="29" applyFont="1" applyFill="1" applyBorder="1"/>
    <xf numFmtId="0" fontId="19" fillId="5" borderId="6" xfId="12" applyFont="1" applyFill="1" applyBorder="1"/>
    <xf numFmtId="164" fontId="35" fillId="0" borderId="4" xfId="29" applyFont="1" applyFill="1" applyBorder="1"/>
    <xf numFmtId="0" fontId="19" fillId="0" borderId="8" xfId="12" applyFont="1" applyBorder="1" applyAlignment="1">
      <alignment horizontal="center" vertical="center" wrapText="1"/>
    </xf>
    <xf numFmtId="0" fontId="19" fillId="0" borderId="4" xfId="12" applyFont="1" applyBorder="1" applyAlignment="1">
      <alignment horizontal="left" vertical="center" wrapText="1" indent="1"/>
    </xf>
    <xf numFmtId="0" fontId="16" fillId="9" borderId="4" xfId="12" applyFont="1" applyFill="1" applyBorder="1" applyAlignment="1">
      <alignment horizontal="left" vertical="center" wrapText="1" indent="1"/>
    </xf>
    <xf numFmtId="164" fontId="15" fillId="14" borderId="4" xfId="29" applyFont="1" applyFill="1" applyBorder="1"/>
    <xf numFmtId="164" fontId="16" fillId="9" borderId="4" xfId="29" applyFont="1" applyFill="1" applyBorder="1" applyAlignment="1">
      <alignment horizontal="right" vertical="center" wrapText="1"/>
    </xf>
    <xf numFmtId="2" fontId="16" fillId="9" borderId="6" xfId="12" applyNumberFormat="1" applyFont="1" applyFill="1" applyBorder="1" applyAlignment="1">
      <alignment horizontal="right" vertical="center" wrapText="1"/>
    </xf>
    <xf numFmtId="0" fontId="19" fillId="0" borderId="8" xfId="12" applyFont="1" applyBorder="1" applyAlignment="1">
      <alignment horizontal="center" vertical="center"/>
    </xf>
    <xf numFmtId="0" fontId="19" fillId="0" borderId="4" xfId="12" applyFont="1" applyBorder="1"/>
    <xf numFmtId="10" fontId="36" fillId="0" borderId="4" xfId="12" applyNumberFormat="1" applyFont="1" applyBorder="1" applyAlignment="1">
      <alignment horizontal="right"/>
    </xf>
    <xf numFmtId="0" fontId="36" fillId="0" borderId="4" xfId="12" applyFont="1" applyBorder="1"/>
    <xf numFmtId="0" fontId="36" fillId="0" borderId="6" xfId="12" applyFont="1" applyBorder="1"/>
    <xf numFmtId="0" fontId="16" fillId="9" borderId="15" xfId="12" applyFont="1" applyFill="1" applyBorder="1" applyAlignment="1">
      <alignment horizontal="center" vertical="center" wrapText="1"/>
    </xf>
    <xf numFmtId="0" fontId="16" fillId="9" borderId="13" xfId="12" applyFont="1" applyFill="1" applyBorder="1" applyAlignment="1">
      <alignment horizontal="left" vertical="center" wrapText="1" indent="1"/>
    </xf>
    <xf numFmtId="164" fontId="15" fillId="14" borderId="13" xfId="29" applyFont="1" applyFill="1" applyBorder="1"/>
    <xf numFmtId="164" fontId="16" fillId="9" borderId="13" xfId="29" applyFont="1" applyFill="1" applyBorder="1" applyAlignment="1">
      <alignment horizontal="center" vertical="center" wrapText="1"/>
    </xf>
    <xf numFmtId="2" fontId="16" fillId="9" borderId="14" xfId="12" applyNumberFormat="1" applyFont="1" applyFill="1" applyBorder="1" applyAlignment="1">
      <alignment horizontal="right" vertical="center" wrapText="1"/>
    </xf>
    <xf numFmtId="0" fontId="37" fillId="9" borderId="4" xfId="21" applyFont="1" applyFill="1" applyBorder="1" applyAlignment="1">
      <alignment horizontal="center" vertical="center" wrapText="1"/>
    </xf>
    <xf numFmtId="0" fontId="37" fillId="9" borderId="6" xfId="21" applyFont="1" applyFill="1" applyBorder="1" applyAlignment="1">
      <alignment horizontal="center" vertical="center" wrapText="1"/>
    </xf>
    <xf numFmtId="0" fontId="37" fillId="9" borderId="8" xfId="28" applyFont="1" applyFill="1" applyBorder="1" applyAlignment="1">
      <alignment horizontal="center" vertical="center"/>
    </xf>
    <xf numFmtId="0" fontId="37" fillId="9" borderId="4" xfId="28" applyFont="1" applyFill="1" applyBorder="1" applyAlignment="1">
      <alignment horizontal="center" vertical="center"/>
    </xf>
    <xf numFmtId="0" fontId="37" fillId="9" borderId="4" xfId="14" applyFont="1" applyFill="1" applyBorder="1" applyAlignment="1">
      <alignment horizontal="center" vertical="center"/>
    </xf>
    <xf numFmtId="0" fontId="37" fillId="9" borderId="6" xfId="14" applyFont="1" applyFill="1" applyBorder="1" applyAlignment="1">
      <alignment horizontal="center" vertical="center"/>
    </xf>
    <xf numFmtId="0" fontId="34" fillId="5" borderId="8" xfId="28" applyFont="1" applyFill="1" applyBorder="1" applyAlignment="1">
      <alignment horizontal="center" vertical="top" wrapText="1"/>
    </xf>
    <xf numFmtId="0" fontId="34" fillId="5" borderId="4" xfId="28" applyFont="1" applyFill="1" applyBorder="1" applyAlignment="1">
      <alignment vertical="top" wrapText="1"/>
    </xf>
    <xf numFmtId="49" fontId="37" fillId="5" borderId="4" xfId="28" applyNumberFormat="1" applyFont="1" applyFill="1" applyBorder="1" applyAlignment="1">
      <alignment horizontal="center" vertical="center"/>
    </xf>
    <xf numFmtId="2" fontId="34" fillId="5" borderId="4" xfId="28" applyNumberFormat="1" applyFont="1" applyFill="1" applyBorder="1">
      <alignment vertical="center"/>
    </xf>
    <xf numFmtId="2" fontId="34" fillId="0" borderId="4" xfId="28" applyNumberFormat="1" applyFont="1" applyBorder="1">
      <alignment vertical="center"/>
    </xf>
    <xf numFmtId="2" fontId="34" fillId="5" borderId="6" xfId="28" applyNumberFormat="1" applyFont="1" applyFill="1" applyBorder="1">
      <alignment vertical="center"/>
    </xf>
    <xf numFmtId="0" fontId="34" fillId="5" borderId="8" xfId="21" applyFont="1" applyFill="1" applyBorder="1" applyAlignment="1">
      <alignment horizontal="center" vertical="center" wrapText="1"/>
    </xf>
    <xf numFmtId="0" fontId="34" fillId="5" borderId="4" xfId="21" applyFont="1" applyFill="1" applyBorder="1" applyAlignment="1">
      <alignment vertical="top" wrapText="1"/>
    </xf>
    <xf numFmtId="49" fontId="34" fillId="5" borderId="4" xfId="21" applyNumberFormat="1" applyFont="1" applyFill="1" applyBorder="1" applyAlignment="1">
      <alignment horizontal="center" vertical="center"/>
    </xf>
    <xf numFmtId="9" fontId="34" fillId="5" borderId="6" xfId="33" applyFont="1" applyFill="1" applyBorder="1" applyAlignment="1">
      <alignment vertical="center"/>
    </xf>
    <xf numFmtId="0" fontId="34" fillId="9" borderId="15" xfId="21" applyFont="1" applyFill="1" applyBorder="1" applyAlignment="1">
      <alignment horizontal="center" vertical="center" wrapText="1"/>
    </xf>
    <xf numFmtId="0" fontId="37" fillId="9" borderId="13" xfId="21" applyFont="1" applyFill="1" applyBorder="1" applyAlignment="1">
      <alignment vertical="top" wrapText="1"/>
    </xf>
    <xf numFmtId="49" fontId="34" fillId="9" borderId="13" xfId="21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9" fillId="5" borderId="4" xfId="0" applyFont="1" applyFill="1" applyBorder="1" applyAlignment="1">
      <alignment horizontal="left"/>
    </xf>
    <xf numFmtId="164" fontId="19" fillId="0" borderId="4" xfId="29" applyFont="1" applyFill="1" applyBorder="1" applyAlignment="1">
      <alignment horizontal="right" vertical="center"/>
    </xf>
    <xf numFmtId="164" fontId="16" fillId="0" borderId="6" xfId="29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left" vertical="center" wrapText="1"/>
    </xf>
    <xf numFmtId="0" fontId="30" fillId="5" borderId="4" xfId="0" applyFont="1" applyFill="1" applyBorder="1" applyAlignment="1">
      <alignment horizontal="center" vertical="center"/>
    </xf>
    <xf numFmtId="164" fontId="30" fillId="5" borderId="4" xfId="29" applyFont="1" applyFill="1" applyBorder="1" applyAlignment="1">
      <alignment horizontal="right" vertical="center"/>
    </xf>
    <xf numFmtId="0" fontId="24" fillId="9" borderId="9" xfId="0" applyFont="1" applyFill="1" applyBorder="1" applyAlignment="1">
      <alignment horizontal="center" vertical="center" wrapText="1"/>
    </xf>
    <xf numFmtId="0" fontId="24" fillId="9" borderId="12" xfId="27" applyFont="1" applyFill="1" applyBorder="1" applyAlignment="1">
      <alignment horizontal="center" vertical="center" wrapText="1"/>
    </xf>
    <xf numFmtId="0" fontId="24" fillId="9" borderId="6" xfId="27" applyFont="1" applyFill="1" applyBorder="1" applyAlignment="1">
      <alignment horizontal="center" vertical="center" wrapText="1"/>
    </xf>
    <xf numFmtId="0" fontId="24" fillId="9" borderId="15" xfId="27" applyFont="1" applyFill="1" applyBorder="1" applyAlignment="1">
      <alignment horizontal="center"/>
    </xf>
    <xf numFmtId="0" fontId="24" fillId="9" borderId="13" xfId="27" applyFont="1" applyFill="1" applyBorder="1" applyAlignment="1">
      <alignment horizontal="center"/>
    </xf>
    <xf numFmtId="0" fontId="24" fillId="9" borderId="14" xfId="27" applyFont="1" applyFill="1" applyBorder="1" applyAlignment="1">
      <alignment horizontal="center"/>
    </xf>
    <xf numFmtId="0" fontId="30" fillId="5" borderId="17" xfId="27" applyFont="1" applyFill="1" applyBorder="1" applyAlignment="1">
      <alignment horizontal="center"/>
    </xf>
    <xf numFmtId="164" fontId="30" fillId="5" borderId="4" xfId="29" applyFont="1" applyFill="1" applyBorder="1"/>
    <xf numFmtId="0" fontId="30" fillId="5" borderId="19" xfId="27" applyFont="1" applyFill="1" applyBorder="1"/>
    <xf numFmtId="0" fontId="30" fillId="5" borderId="8" xfId="27" applyFont="1" applyFill="1" applyBorder="1" applyAlignment="1">
      <alignment horizontal="center"/>
    </xf>
    <xf numFmtId="0" fontId="30" fillId="5" borderId="4" xfId="27" applyFont="1" applyFill="1" applyBorder="1"/>
    <xf numFmtId="0" fontId="30" fillId="5" borderId="6" xfId="27" applyFont="1" applyFill="1" applyBorder="1"/>
    <xf numFmtId="0" fontId="30" fillId="5" borderId="8" xfId="27" applyFont="1" applyFill="1" applyBorder="1"/>
    <xf numFmtId="0" fontId="24" fillId="5" borderId="4" xfId="27" applyFont="1" applyFill="1" applyBorder="1"/>
    <xf numFmtId="0" fontId="30" fillId="5" borderId="4" xfId="27" applyFont="1" applyFill="1" applyBorder="1" applyAlignment="1">
      <alignment wrapText="1"/>
    </xf>
    <xf numFmtId="164" fontId="30" fillId="0" borderId="4" xfId="29" applyFont="1" applyFill="1" applyBorder="1"/>
    <xf numFmtId="0" fontId="30" fillId="9" borderId="8" xfId="27" applyFont="1" applyFill="1" applyBorder="1"/>
    <xf numFmtId="0" fontId="24" fillId="9" borderId="4" xfId="27" applyFont="1" applyFill="1" applyBorder="1"/>
    <xf numFmtId="164" fontId="24" fillId="9" borderId="4" xfId="27" applyNumberFormat="1" applyFont="1" applyFill="1" applyBorder="1"/>
    <xf numFmtId="0" fontId="30" fillId="9" borderId="6" xfId="27" applyFont="1" applyFill="1" applyBorder="1"/>
    <xf numFmtId="0" fontId="30" fillId="9" borderId="15" xfId="27" applyFont="1" applyFill="1" applyBorder="1"/>
    <xf numFmtId="0" fontId="24" fillId="9" borderId="13" xfId="27" applyFont="1" applyFill="1" applyBorder="1"/>
    <xf numFmtId="164" fontId="30" fillId="9" borderId="13" xfId="29" applyFont="1" applyFill="1" applyBorder="1"/>
    <xf numFmtId="0" fontId="30" fillId="9" borderId="14" xfId="27" applyFont="1" applyFill="1" applyBorder="1"/>
    <xf numFmtId="0" fontId="14" fillId="9" borderId="16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5" fillId="5" borderId="18" xfId="0" applyFont="1" applyFill="1" applyBorder="1"/>
    <xf numFmtId="10" fontId="15" fillId="0" borderId="18" xfId="33" applyNumberFormat="1" applyFont="1" applyFill="1" applyBorder="1"/>
    <xf numFmtId="0" fontId="15" fillId="5" borderId="19" xfId="0" applyFont="1" applyFill="1" applyBorder="1"/>
    <xf numFmtId="0" fontId="15" fillId="5" borderId="4" xfId="0" applyFont="1" applyFill="1" applyBorder="1" applyAlignment="1">
      <alignment horizontal="left" wrapText="1"/>
    </xf>
    <xf numFmtId="0" fontId="15" fillId="5" borderId="6" xfId="0" applyFont="1" applyFill="1" applyBorder="1"/>
    <xf numFmtId="0" fontId="15" fillId="5" borderId="4" xfId="0" applyFont="1" applyFill="1" applyBorder="1" applyAlignment="1">
      <alignment horizontal="right"/>
    </xf>
    <xf numFmtId="0" fontId="14" fillId="9" borderId="8" xfId="0" applyFont="1" applyFill="1" applyBorder="1" applyAlignment="1">
      <alignment horizontal="center"/>
    </xf>
    <xf numFmtId="0" fontId="15" fillId="9" borderId="6" xfId="0" applyFont="1" applyFill="1" applyBorder="1"/>
    <xf numFmtId="0" fontId="15" fillId="0" borderId="8" xfId="0" quotePrefix="1" applyFont="1" applyBorder="1" applyAlignment="1">
      <alignment horizontal="center"/>
    </xf>
    <xf numFmtId="0" fontId="14" fillId="0" borderId="4" xfId="0" applyFont="1" applyBorder="1"/>
    <xf numFmtId="0" fontId="15" fillId="0" borderId="8" xfId="0" applyFont="1" applyBorder="1" applyAlignment="1">
      <alignment horizontal="center"/>
    </xf>
    <xf numFmtId="0" fontId="15" fillId="0" borderId="4" xfId="0" applyFont="1" applyBorder="1"/>
    <xf numFmtId="0" fontId="15" fillId="0" borderId="8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15" xfId="0" applyFont="1" applyBorder="1" applyAlignment="1">
      <alignment horizontal="right"/>
    </xf>
    <xf numFmtId="0" fontId="15" fillId="0" borderId="13" xfId="0" applyFont="1" applyBorder="1" applyAlignment="1">
      <alignment horizontal="right"/>
    </xf>
    <xf numFmtId="0" fontId="15" fillId="0" borderId="13" xfId="0" applyFont="1" applyBorder="1"/>
    <xf numFmtId="164" fontId="15" fillId="0" borderId="13" xfId="29" applyFont="1" applyFill="1" applyBorder="1"/>
    <xf numFmtId="0" fontId="15" fillId="5" borderId="14" xfId="0" applyFont="1" applyFill="1" applyBorder="1"/>
    <xf numFmtId="43" fontId="13" fillId="0" borderId="0" xfId="0" applyNumberFormat="1" applyFont="1"/>
    <xf numFmtId="0" fontId="15" fillId="5" borderId="17" xfId="12" applyFont="1" applyFill="1" applyBorder="1" applyAlignment="1">
      <alignment vertical="center"/>
    </xf>
    <xf numFmtId="164" fontId="15" fillId="5" borderId="18" xfId="21" applyNumberFormat="1" applyFont="1" applyFill="1" applyBorder="1">
      <alignment vertical="center"/>
    </xf>
    <xf numFmtId="0" fontId="15" fillId="5" borderId="19" xfId="21" applyFont="1" applyFill="1" applyBorder="1">
      <alignment vertical="center"/>
    </xf>
    <xf numFmtId="0" fontId="15" fillId="5" borderId="8" xfId="12" applyFont="1" applyFill="1" applyBorder="1" applyAlignment="1">
      <alignment vertical="center"/>
    </xf>
    <xf numFmtId="164" fontId="15" fillId="5" borderId="4" xfId="21" applyNumberFormat="1" applyFont="1" applyFill="1" applyBorder="1">
      <alignment vertical="center"/>
    </xf>
    <xf numFmtId="0" fontId="15" fillId="5" borderId="6" xfId="21" applyFont="1" applyFill="1" applyBorder="1">
      <alignment vertical="center"/>
    </xf>
    <xf numFmtId="0" fontId="15" fillId="9" borderId="8" xfId="12" applyFont="1" applyFill="1" applyBorder="1" applyAlignment="1">
      <alignment vertical="center"/>
    </xf>
    <xf numFmtId="168" fontId="14" fillId="9" borderId="4" xfId="21" applyNumberFormat="1" applyFont="1" applyFill="1" applyBorder="1">
      <alignment vertical="center"/>
    </xf>
    <xf numFmtId="164" fontId="14" fillId="9" borderId="4" xfId="21" applyNumberFormat="1" applyFont="1" applyFill="1" applyBorder="1">
      <alignment vertical="center"/>
    </xf>
    <xf numFmtId="0" fontId="15" fillId="9" borderId="6" xfId="21" applyFont="1" applyFill="1" applyBorder="1">
      <alignment vertical="center"/>
    </xf>
    <xf numFmtId="164" fontId="14" fillId="9" borderId="13" xfId="21" applyNumberFormat="1" applyFont="1" applyFill="1" applyBorder="1">
      <alignment vertical="center"/>
    </xf>
    <xf numFmtId="0" fontId="15" fillId="9" borderId="14" xfId="21" applyFont="1" applyFill="1" applyBorder="1">
      <alignment vertical="center"/>
    </xf>
    <xf numFmtId="0" fontId="15" fillId="5" borderId="18" xfId="12" applyFont="1" applyFill="1" applyBorder="1" applyAlignment="1">
      <alignment vertical="center" wrapText="1"/>
    </xf>
    <xf numFmtId="0" fontId="15" fillId="5" borderId="4" xfId="12" applyFont="1" applyFill="1" applyBorder="1" applyAlignment="1">
      <alignment vertical="center" wrapText="1"/>
    </xf>
    <xf numFmtId="0" fontId="14" fillId="9" borderId="4" xfId="12" applyFont="1" applyFill="1" applyBorder="1" applyAlignment="1">
      <alignment vertical="center" wrapText="1"/>
    </xf>
    <xf numFmtId="0" fontId="15" fillId="9" borderId="15" xfId="12" applyFont="1" applyFill="1" applyBorder="1" applyAlignment="1">
      <alignment vertical="center"/>
    </xf>
    <xf numFmtId="0" fontId="14" fillId="9" borderId="13" xfId="12" applyFont="1" applyFill="1" applyBorder="1" applyAlignment="1">
      <alignment vertical="center"/>
    </xf>
    <xf numFmtId="0" fontId="38" fillId="0" borderId="0" xfId="0" applyFont="1"/>
    <xf numFmtId="0" fontId="16" fillId="9" borderId="13" xfId="0" applyFont="1" applyFill="1" applyBorder="1" applyAlignment="1">
      <alignment horizontal="center"/>
    </xf>
    <xf numFmtId="0" fontId="16" fillId="9" borderId="4" xfId="0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right" vertical="center"/>
    </xf>
    <xf numFmtId="0" fontId="15" fillId="10" borderId="4" xfId="0" applyFont="1" applyFill="1" applyBorder="1"/>
    <xf numFmtId="0" fontId="15" fillId="10" borderId="8" xfId="0" applyFont="1" applyFill="1" applyBorder="1" applyAlignment="1">
      <alignment horizontal="center" vertical="center"/>
    </xf>
    <xf numFmtId="168" fontId="19" fillId="5" borderId="20" xfId="29" applyNumberFormat="1" applyFont="1" applyFill="1" applyBorder="1"/>
    <xf numFmtId="0" fontId="28" fillId="5" borderId="34" xfId="0" applyFont="1" applyFill="1" applyBorder="1" applyAlignment="1">
      <alignment horizontal="right"/>
    </xf>
    <xf numFmtId="0" fontId="24" fillId="12" borderId="4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center" vertical="center" wrapText="1"/>
    </xf>
    <xf numFmtId="0" fontId="24" fillId="12" borderId="15" xfId="0" applyFont="1" applyFill="1" applyBorder="1" applyAlignment="1">
      <alignment horizontal="center" vertical="center"/>
    </xf>
    <xf numFmtId="0" fontId="24" fillId="12" borderId="13" xfId="0" applyFont="1" applyFill="1" applyBorder="1" applyAlignment="1">
      <alignment horizontal="center" vertical="center"/>
    </xf>
    <xf numFmtId="0" fontId="24" fillId="12" borderId="14" xfId="0" applyFont="1" applyFill="1" applyBorder="1" applyAlignment="1">
      <alignment horizontal="center" vertical="center"/>
    </xf>
    <xf numFmtId="0" fontId="30" fillId="4" borderId="17" xfId="0" applyFont="1" applyFill="1" applyBorder="1" applyAlignment="1">
      <alignment horizontal="center"/>
    </xf>
    <xf numFmtId="0" fontId="24" fillId="4" borderId="18" xfId="0" applyFont="1" applyFill="1" applyBorder="1" applyAlignment="1">
      <alignment wrapText="1"/>
    </xf>
    <xf numFmtId="0" fontId="30" fillId="5" borderId="18" xfId="0" applyFont="1" applyFill="1" applyBorder="1"/>
    <xf numFmtId="0" fontId="30" fillId="5" borderId="19" xfId="0" applyFont="1" applyFill="1" applyBorder="1"/>
    <xf numFmtId="0" fontId="30" fillId="0" borderId="8" xfId="0" applyFont="1" applyBorder="1" applyAlignment="1">
      <alignment horizontal="center"/>
    </xf>
    <xf numFmtId="0" fontId="30" fillId="4" borderId="4" xfId="0" applyFont="1" applyFill="1" applyBorder="1" applyAlignment="1">
      <alignment wrapText="1"/>
    </xf>
    <xf numFmtId="0" fontId="30" fillId="0" borderId="4" xfId="0" applyFont="1" applyBorder="1" applyAlignment="1">
      <alignment horizontal="center"/>
    </xf>
    <xf numFmtId="0" fontId="30" fillId="5" borderId="4" xfId="0" applyFont="1" applyFill="1" applyBorder="1"/>
    <xf numFmtId="0" fontId="30" fillId="5" borderId="6" xfId="0" applyFont="1" applyFill="1" applyBorder="1"/>
    <xf numFmtId="2" fontId="30" fillId="5" borderId="4" xfId="0" applyNumberFormat="1" applyFont="1" applyFill="1" applyBorder="1"/>
    <xf numFmtId="2" fontId="30" fillId="0" borderId="8" xfId="0" applyNumberFormat="1" applyFont="1" applyBorder="1" applyAlignment="1">
      <alignment horizontal="center"/>
    </xf>
    <xf numFmtId="2" fontId="30" fillId="4" borderId="4" xfId="0" applyNumberFormat="1" applyFont="1" applyFill="1" applyBorder="1" applyAlignment="1">
      <alignment wrapText="1"/>
    </xf>
    <xf numFmtId="2" fontId="30" fillId="0" borderId="4" xfId="0" applyNumberFormat="1" applyFont="1" applyBorder="1" applyAlignment="1">
      <alignment horizontal="center"/>
    </xf>
    <xf numFmtId="164" fontId="24" fillId="5" borderId="4" xfId="29" applyFont="1" applyFill="1" applyBorder="1"/>
    <xf numFmtId="2" fontId="24" fillId="5" borderId="4" xfId="0" applyNumberFormat="1" applyFont="1" applyFill="1" applyBorder="1"/>
    <xf numFmtId="0" fontId="24" fillId="4" borderId="4" xfId="0" applyFont="1" applyFill="1" applyBorder="1" applyAlignment="1">
      <alignment wrapText="1"/>
    </xf>
    <xf numFmtId="0" fontId="30" fillId="4" borderId="4" xfId="0" applyFont="1" applyFill="1" applyBorder="1" applyAlignment="1">
      <alignment horizontal="right" wrapText="1"/>
    </xf>
    <xf numFmtId="0" fontId="30" fillId="12" borderId="8" xfId="0" applyFont="1" applyFill="1" applyBorder="1" applyAlignment="1">
      <alignment horizontal="center"/>
    </xf>
    <xf numFmtId="0" fontId="24" fillId="12" borderId="4" xfId="0" applyFont="1" applyFill="1" applyBorder="1" applyAlignment="1">
      <alignment wrapText="1"/>
    </xf>
    <xf numFmtId="0" fontId="24" fillId="12" borderId="4" xfId="0" applyFont="1" applyFill="1" applyBorder="1" applyAlignment="1">
      <alignment horizontal="center"/>
    </xf>
    <xf numFmtId="164" fontId="24" fillId="12" borderId="4" xfId="29" applyFont="1" applyFill="1" applyBorder="1"/>
    <xf numFmtId="2" fontId="24" fillId="12" borderId="4" xfId="0" applyNumberFormat="1" applyFont="1" applyFill="1" applyBorder="1"/>
    <xf numFmtId="0" fontId="30" fillId="12" borderId="6" xfId="0" applyFont="1" applyFill="1" applyBorder="1"/>
    <xf numFmtId="0" fontId="24" fillId="4" borderId="4" xfId="0" applyFont="1" applyFill="1" applyBorder="1" applyAlignment="1">
      <alignment horizontal="left" vertical="center" wrapText="1"/>
    </xf>
    <xf numFmtId="0" fontId="30" fillId="12" borderId="15" xfId="0" applyFont="1" applyFill="1" applyBorder="1" applyAlignment="1">
      <alignment horizontal="center"/>
    </xf>
    <xf numFmtId="0" fontId="24" fillId="12" borderId="13" xfId="0" applyFont="1" applyFill="1" applyBorder="1" applyAlignment="1">
      <alignment wrapText="1"/>
    </xf>
    <xf numFmtId="0" fontId="30" fillId="12" borderId="13" xfId="0" applyFont="1" applyFill="1" applyBorder="1"/>
    <xf numFmtId="164" fontId="24" fillId="12" borderId="13" xfId="29" applyFont="1" applyFill="1" applyBorder="1"/>
    <xf numFmtId="2" fontId="24" fillId="12" borderId="13" xfId="0" applyNumberFormat="1" applyFont="1" applyFill="1" applyBorder="1"/>
    <xf numFmtId="0" fontId="30" fillId="12" borderId="14" xfId="0" applyFont="1" applyFill="1" applyBorder="1"/>
    <xf numFmtId="2" fontId="13" fillId="0" borderId="0" xfId="0" applyNumberFormat="1" applyFont="1"/>
    <xf numFmtId="164" fontId="25" fillId="0" borderId="0" xfId="0" applyNumberFormat="1" applyFont="1" applyAlignment="1">
      <alignment horizontal="right"/>
    </xf>
    <xf numFmtId="0" fontId="25" fillId="5" borderId="0" xfId="0" applyFont="1" applyFill="1"/>
    <xf numFmtId="0" fontId="14" fillId="5" borderId="34" xfId="0" applyFont="1" applyFill="1" applyBorder="1" applyAlignment="1">
      <alignment horizontal="right"/>
    </xf>
    <xf numFmtId="0" fontId="15" fillId="0" borderId="17" xfId="0" applyFont="1" applyBorder="1" applyAlignment="1">
      <alignment horizontal="center"/>
    </xf>
    <xf numFmtId="0" fontId="14" fillId="0" borderId="18" xfId="0" applyFont="1" applyBorder="1"/>
    <xf numFmtId="0" fontId="15" fillId="0" borderId="1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4" xfId="0" applyFont="1" applyBorder="1" applyAlignment="1">
      <alignment wrapText="1"/>
    </xf>
    <xf numFmtId="0" fontId="14" fillId="0" borderId="4" xfId="0" applyFont="1" applyBorder="1" applyAlignment="1">
      <alignment horizontal="center"/>
    </xf>
    <xf numFmtId="0" fontId="14" fillId="5" borderId="4" xfId="0" applyFont="1" applyFill="1" applyBorder="1"/>
    <xf numFmtId="0" fontId="14" fillId="5" borderId="6" xfId="0" applyFont="1" applyFill="1" applyBorder="1"/>
    <xf numFmtId="0" fontId="15" fillId="0" borderId="4" xfId="0" applyFont="1" applyBorder="1" applyAlignment="1">
      <alignment wrapText="1"/>
    </xf>
    <xf numFmtId="0" fontId="15" fillId="0" borderId="4" xfId="0" applyFont="1" applyBorder="1" applyAlignment="1">
      <alignment horizontal="center"/>
    </xf>
    <xf numFmtId="168" fontId="15" fillId="5" borderId="4" xfId="29" applyNumberFormat="1" applyFont="1" applyFill="1" applyBorder="1"/>
    <xf numFmtId="168" fontId="14" fillId="5" borderId="4" xfId="29" applyNumberFormat="1" applyFont="1" applyFill="1" applyBorder="1"/>
    <xf numFmtId="0" fontId="15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12" borderId="8" xfId="0" applyFont="1" applyFill="1" applyBorder="1" applyAlignment="1">
      <alignment horizontal="center"/>
    </xf>
    <xf numFmtId="0" fontId="14" fillId="12" borderId="4" xfId="0" applyFont="1" applyFill="1" applyBorder="1" applyAlignment="1">
      <alignment horizontal="left" vertical="center" wrapText="1"/>
    </xf>
    <xf numFmtId="0" fontId="15" fillId="12" borderId="4" xfId="0" applyFont="1" applyFill="1" applyBorder="1" applyAlignment="1">
      <alignment horizontal="center"/>
    </xf>
    <xf numFmtId="168" fontId="14" fillId="12" borderId="4" xfId="29" applyNumberFormat="1" applyFont="1" applyFill="1" applyBorder="1"/>
    <xf numFmtId="0" fontId="15" fillId="12" borderId="6" xfId="0" applyFont="1" applyFill="1" applyBorder="1"/>
    <xf numFmtId="0" fontId="14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wrapText="1"/>
    </xf>
    <xf numFmtId="0" fontId="15" fillId="0" borderId="4" xfId="0" applyFont="1" applyBorder="1" applyAlignment="1">
      <alignment horizontal="right" wrapText="1"/>
    </xf>
    <xf numFmtId="0" fontId="14" fillId="9" borderId="4" xfId="0" applyFont="1" applyFill="1" applyBorder="1" applyAlignment="1">
      <alignment wrapText="1"/>
    </xf>
    <xf numFmtId="168" fontId="14" fillId="9" borderId="4" xfId="29" applyNumberFormat="1" applyFont="1" applyFill="1" applyBorder="1"/>
    <xf numFmtId="0" fontId="15" fillId="9" borderId="4" xfId="0" applyFont="1" applyFill="1" applyBorder="1" applyAlignment="1">
      <alignment wrapText="1"/>
    </xf>
    <xf numFmtId="0" fontId="15" fillId="9" borderId="15" xfId="0" applyFont="1" applyFill="1" applyBorder="1" applyAlignment="1">
      <alignment horizontal="center"/>
    </xf>
    <xf numFmtId="0" fontId="14" fillId="9" borderId="13" xfId="0" applyFont="1" applyFill="1" applyBorder="1" applyAlignment="1">
      <alignment wrapText="1"/>
    </xf>
    <xf numFmtId="168" fontId="14" fillId="9" borderId="13" xfId="29" applyNumberFormat="1" applyFont="1" applyFill="1" applyBorder="1"/>
    <xf numFmtId="0" fontId="15" fillId="9" borderId="14" xfId="0" applyFont="1" applyFill="1" applyBorder="1"/>
    <xf numFmtId="0" fontId="14" fillId="6" borderId="16" xfId="12" applyFont="1" applyFill="1" applyBorder="1" applyAlignment="1">
      <alignment horizontal="center" vertical="center" wrapText="1"/>
    </xf>
    <xf numFmtId="0" fontId="14" fillId="6" borderId="9" xfId="12" applyFont="1" applyFill="1" applyBorder="1" applyAlignment="1">
      <alignment horizontal="center" vertical="center" wrapText="1"/>
    </xf>
    <xf numFmtId="16" fontId="14" fillId="6" borderId="9" xfId="12" applyNumberFormat="1" applyFont="1" applyFill="1" applyBorder="1" applyAlignment="1">
      <alignment horizontal="center" vertical="center" wrapText="1"/>
    </xf>
    <xf numFmtId="16" fontId="14" fillId="6" borderId="12" xfId="12" applyNumberFormat="1" applyFont="1" applyFill="1" applyBorder="1" applyAlignment="1">
      <alignment horizontal="center" vertical="center" wrapText="1"/>
    </xf>
    <xf numFmtId="0" fontId="19" fillId="5" borderId="4" xfId="34" applyFont="1" applyFill="1" applyBorder="1" applyAlignment="1">
      <alignment horizontal="left"/>
    </xf>
    <xf numFmtId="0" fontId="14" fillId="12" borderId="8" xfId="12" applyFont="1" applyFill="1" applyBorder="1" applyAlignment="1">
      <alignment horizontal="center" vertical="top" wrapText="1"/>
    </xf>
    <xf numFmtId="0" fontId="16" fillId="9" borderId="4" xfId="0" applyFont="1" applyFill="1" applyBorder="1" applyAlignment="1">
      <alignment horizontal="center" vertical="center" textRotation="90" wrapText="1"/>
    </xf>
    <xf numFmtId="0" fontId="13" fillId="0" borderId="8" xfId="15" applyFont="1" applyBorder="1" applyAlignment="1">
      <alignment horizontal="center" vertical="center"/>
    </xf>
    <xf numFmtId="164" fontId="15" fillId="0" borderId="4" xfId="21" applyNumberFormat="1" applyFont="1" applyBorder="1">
      <alignment vertical="center"/>
    </xf>
    <xf numFmtId="168" fontId="25" fillId="5" borderId="0" xfId="0" applyNumberFormat="1" applyFont="1" applyFill="1"/>
    <xf numFmtId="168" fontId="14" fillId="5" borderId="0" xfId="12" applyNumberFormat="1" applyFont="1" applyFill="1"/>
    <xf numFmtId="1" fontId="14" fillId="5" borderId="0" xfId="12" applyNumberFormat="1" applyFont="1" applyFill="1"/>
    <xf numFmtId="168" fontId="19" fillId="0" borderId="0" xfId="0" applyNumberFormat="1" applyFont="1"/>
    <xf numFmtId="171" fontId="13" fillId="0" borderId="0" xfId="0" applyNumberFormat="1" applyFont="1"/>
    <xf numFmtId="0" fontId="24" fillId="9" borderId="4" xfId="0" applyFont="1" applyFill="1" applyBorder="1" applyAlignment="1">
      <alignment horizontal="center" vertical="center" wrapText="1"/>
    </xf>
    <xf numFmtId="164" fontId="19" fillId="9" borderId="42" xfId="29" applyFont="1" applyFill="1" applyBorder="1" applyAlignment="1">
      <alignment horizontal="center"/>
    </xf>
    <xf numFmtId="164" fontId="19" fillId="0" borderId="13" xfId="29" applyFont="1" applyBorder="1"/>
    <xf numFmtId="0" fontId="13" fillId="0" borderId="4" xfId="40" applyFont="1" applyBorder="1" applyAlignment="1">
      <alignment horizontal="left" vertical="center"/>
    </xf>
    <xf numFmtId="0" fontId="30" fillId="7" borderId="18" xfId="40" applyFont="1" applyFill="1" applyBorder="1" applyAlignment="1">
      <alignment horizontal="left" vertical="top"/>
    </xf>
    <xf numFmtId="0" fontId="30" fillId="7" borderId="4" xfId="40" applyFont="1" applyFill="1" applyBorder="1" applyAlignment="1">
      <alignment horizontal="left" vertical="top"/>
    </xf>
    <xf numFmtId="0" fontId="30" fillId="0" borderId="4" xfId="40" applyFont="1" applyBorder="1" applyAlignment="1">
      <alignment horizontal="left" vertical="top"/>
    </xf>
    <xf numFmtId="0" fontId="30" fillId="7" borderId="4" xfId="40" applyFont="1" applyFill="1" applyBorder="1" applyAlignment="1">
      <alignment horizontal="left" vertical="top" wrapText="1"/>
    </xf>
    <xf numFmtId="168" fontId="19" fillId="5" borderId="31" xfId="29" applyNumberFormat="1" applyFont="1" applyFill="1" applyBorder="1"/>
    <xf numFmtId="2" fontId="37" fillId="9" borderId="54" xfId="21" applyNumberFormat="1" applyFont="1" applyFill="1" applyBorder="1">
      <alignment vertical="center"/>
    </xf>
    <xf numFmtId="2" fontId="37" fillId="9" borderId="13" xfId="21" applyNumberFormat="1" applyFont="1" applyFill="1" applyBorder="1">
      <alignment vertical="center"/>
    </xf>
    <xf numFmtId="164" fontId="40" fillId="0" borderId="0" xfId="30" applyNumberFormat="1" applyFont="1" applyFill="1" applyBorder="1" applyAlignment="1"/>
    <xf numFmtId="164" fontId="41" fillId="0" borderId="0" xfId="30" applyNumberFormat="1" applyFont="1" applyFill="1" applyBorder="1" applyAlignment="1"/>
    <xf numFmtId="0" fontId="39" fillId="0" borderId="0" xfId="0" applyFont="1"/>
    <xf numFmtId="43" fontId="0" fillId="0" borderId="0" xfId="0" applyNumberFormat="1"/>
    <xf numFmtId="0" fontId="16" fillId="9" borderId="28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 wrapText="1"/>
    </xf>
    <xf numFmtId="0" fontId="16" fillId="9" borderId="31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/>
    </xf>
    <xf numFmtId="0" fontId="19" fillId="5" borderId="23" xfId="0" applyFont="1" applyFill="1" applyBorder="1"/>
    <xf numFmtId="168" fontId="19" fillId="5" borderId="23" xfId="29" applyNumberFormat="1" applyFont="1" applyFill="1" applyBorder="1"/>
    <xf numFmtId="168" fontId="19" fillId="0" borderId="31" xfId="29" applyNumberFormat="1" applyFont="1" applyFill="1" applyBorder="1"/>
    <xf numFmtId="168" fontId="19" fillId="0" borderId="4" xfId="29" applyNumberFormat="1" applyFont="1" applyFill="1" applyBorder="1"/>
    <xf numFmtId="168" fontId="16" fillId="0" borderId="13" xfId="29" applyNumberFormat="1" applyFont="1" applyFill="1" applyBorder="1"/>
    <xf numFmtId="0" fontId="43" fillId="0" borderId="0" xfId="0" applyFont="1"/>
    <xf numFmtId="0" fontId="44" fillId="9" borderId="3" xfId="0" applyFont="1" applyFill="1" applyBorder="1" applyAlignment="1">
      <alignment horizontal="center" vertical="center" wrapText="1"/>
    </xf>
    <xf numFmtId="0" fontId="44" fillId="9" borderId="4" xfId="0" applyFont="1" applyFill="1" applyBorder="1" applyAlignment="1">
      <alignment horizontal="center"/>
    </xf>
    <xf numFmtId="0" fontId="44" fillId="9" borderId="6" xfId="0" applyFont="1" applyFill="1" applyBorder="1" applyAlignment="1">
      <alignment horizontal="center"/>
    </xf>
    <xf numFmtId="0" fontId="44" fillId="9" borderId="15" xfId="0" applyFont="1" applyFill="1" applyBorder="1" applyAlignment="1">
      <alignment horizontal="center"/>
    </xf>
    <xf numFmtId="0" fontId="44" fillId="9" borderId="13" xfId="0" applyFont="1" applyFill="1" applyBorder="1" applyAlignment="1">
      <alignment horizontal="center"/>
    </xf>
    <xf numFmtId="0" fontId="44" fillId="9" borderId="57" xfId="0" applyFont="1" applyFill="1" applyBorder="1" applyAlignment="1">
      <alignment horizontal="center"/>
    </xf>
    <xf numFmtId="0" fontId="45" fillId="5" borderId="16" xfId="0" applyFont="1" applyFill="1" applyBorder="1" applyAlignment="1">
      <alignment horizontal="center"/>
    </xf>
    <xf numFmtId="0" fontId="45" fillId="0" borderId="9" xfId="0" applyFont="1" applyBorder="1"/>
    <xf numFmtId="0" fontId="45" fillId="5" borderId="9" xfId="0" applyFont="1" applyFill="1" applyBorder="1"/>
    <xf numFmtId="168" fontId="45" fillId="5" borderId="9" xfId="29" applyNumberFormat="1" applyFont="1" applyFill="1" applyBorder="1"/>
    <xf numFmtId="168" fontId="45" fillId="5" borderId="18" xfId="29" applyNumberFormat="1" applyFont="1" applyFill="1" applyBorder="1"/>
    <xf numFmtId="168" fontId="45" fillId="5" borderId="19" xfId="29" applyNumberFormat="1" applyFont="1" applyFill="1" applyBorder="1"/>
    <xf numFmtId="0" fontId="45" fillId="5" borderId="8" xfId="0" applyFont="1" applyFill="1" applyBorder="1" applyAlignment="1">
      <alignment horizontal="center"/>
    </xf>
    <xf numFmtId="0" fontId="45" fillId="0" borderId="4" xfId="12" applyFont="1" applyBorder="1"/>
    <xf numFmtId="0" fontId="45" fillId="5" borderId="4" xfId="0" applyFont="1" applyFill="1" applyBorder="1"/>
    <xf numFmtId="168" fontId="45" fillId="5" borderId="4" xfId="29" applyNumberFormat="1" applyFont="1" applyFill="1" applyBorder="1"/>
    <xf numFmtId="0" fontId="45" fillId="0" borderId="4" xfId="0" applyFont="1" applyBorder="1" applyAlignment="1">
      <alignment horizontal="left"/>
    </xf>
    <xf numFmtId="168" fontId="45" fillId="5" borderId="20" xfId="29" applyNumberFormat="1" applyFont="1" applyFill="1" applyBorder="1"/>
    <xf numFmtId="0" fontId="45" fillId="5" borderId="15" xfId="0" applyFont="1" applyFill="1" applyBorder="1" applyAlignment="1">
      <alignment horizontal="center"/>
    </xf>
    <xf numFmtId="0" fontId="44" fillId="5" borderId="13" xfId="0" applyFont="1" applyFill="1" applyBorder="1" applyAlignment="1">
      <alignment horizontal="left"/>
    </xf>
    <xf numFmtId="0" fontId="44" fillId="5" borderId="13" xfId="0" applyFont="1" applyFill="1" applyBorder="1"/>
    <xf numFmtId="168" fontId="44" fillId="5" borderId="13" xfId="29" applyNumberFormat="1" applyFont="1" applyFill="1" applyBorder="1"/>
    <xf numFmtId="168" fontId="44" fillId="5" borderId="14" xfId="29" applyNumberFormat="1" applyFont="1" applyFill="1" applyBorder="1"/>
    <xf numFmtId="0" fontId="45" fillId="5" borderId="46" xfId="0" applyFont="1" applyFill="1" applyBorder="1" applyAlignment="1">
      <alignment horizontal="center"/>
    </xf>
    <xf numFmtId="0" fontId="44" fillId="5" borderId="7" xfId="0" applyFont="1" applyFill="1" applyBorder="1" applyAlignment="1">
      <alignment horizontal="left" wrapText="1"/>
    </xf>
    <xf numFmtId="0" fontId="44" fillId="5" borderId="7" xfId="0" applyFont="1" applyFill="1" applyBorder="1"/>
    <xf numFmtId="168" fontId="45" fillId="5" borderId="58" xfId="29" applyNumberFormat="1" applyFont="1" applyFill="1" applyBorder="1"/>
    <xf numFmtId="168" fontId="44" fillId="5" borderId="0" xfId="29" applyNumberFormat="1" applyFont="1" applyFill="1" applyBorder="1"/>
    <xf numFmtId="168" fontId="44" fillId="5" borderId="34" xfId="29" applyNumberFormat="1" applyFont="1" applyFill="1" applyBorder="1"/>
    <xf numFmtId="0" fontId="44" fillId="5" borderId="7" xfId="0" applyFont="1" applyFill="1" applyBorder="1" applyAlignment="1">
      <alignment horizontal="left"/>
    </xf>
    <xf numFmtId="168" fontId="44" fillId="5" borderId="58" xfId="29" applyNumberFormat="1" applyFont="1" applyFill="1" applyBorder="1"/>
    <xf numFmtId="0" fontId="44" fillId="9" borderId="28" xfId="0" applyFont="1" applyFill="1" applyBorder="1" applyAlignment="1">
      <alignment horizontal="center" vertical="center" wrapText="1"/>
    </xf>
    <xf numFmtId="0" fontId="44" fillId="9" borderId="31" xfId="0" applyFont="1" applyFill="1" applyBorder="1" applyAlignment="1">
      <alignment horizontal="center" vertical="center" wrapText="1"/>
    </xf>
    <xf numFmtId="0" fontId="44" fillId="9" borderId="46" xfId="0" applyFont="1" applyFill="1" applyBorder="1" applyAlignment="1">
      <alignment horizontal="center" vertical="center" wrapText="1"/>
    </xf>
    <xf numFmtId="0" fontId="44" fillId="9" borderId="7" xfId="0" applyFont="1" applyFill="1" applyBorder="1" applyAlignment="1">
      <alignment horizontal="center" vertical="center" wrapText="1"/>
    </xf>
    <xf numFmtId="0" fontId="44" fillId="9" borderId="17" xfId="0" applyFont="1" applyFill="1" applyBorder="1" applyAlignment="1">
      <alignment horizontal="center" vertical="center" wrapText="1"/>
    </xf>
    <xf numFmtId="0" fontId="44" fillId="9" borderId="18" xfId="0" applyFont="1" applyFill="1" applyBorder="1" applyAlignment="1">
      <alignment horizontal="center" vertical="center" wrapText="1"/>
    </xf>
    <xf numFmtId="168" fontId="45" fillId="5" borderId="31" xfId="29" applyNumberFormat="1" applyFont="1" applyFill="1" applyBorder="1"/>
    <xf numFmtId="0" fontId="44" fillId="9" borderId="8" xfId="0" applyFont="1" applyFill="1" applyBorder="1" applyAlignment="1">
      <alignment horizontal="center"/>
    </xf>
    <xf numFmtId="0" fontId="44" fillId="9" borderId="3" xfId="0" applyFont="1" applyFill="1" applyBorder="1" applyAlignment="1">
      <alignment horizontal="center"/>
    </xf>
    <xf numFmtId="0" fontId="45" fillId="0" borderId="4" xfId="0" applyFont="1" applyBorder="1"/>
    <xf numFmtId="168" fontId="45" fillId="5" borderId="6" xfId="29" applyNumberFormat="1" applyFont="1" applyFill="1" applyBorder="1"/>
    <xf numFmtId="0" fontId="45" fillId="9" borderId="15" xfId="0" applyFont="1" applyFill="1" applyBorder="1" applyAlignment="1">
      <alignment horizontal="center"/>
    </xf>
    <xf numFmtId="0" fontId="44" fillId="9" borderId="13" xfId="0" applyFont="1" applyFill="1" applyBorder="1" applyAlignment="1">
      <alignment horizontal="left"/>
    </xf>
    <xf numFmtId="0" fontId="44" fillId="9" borderId="13" xfId="0" applyFont="1" applyFill="1" applyBorder="1"/>
    <xf numFmtId="168" fontId="44" fillId="9" borderId="13" xfId="29" applyNumberFormat="1" applyFont="1" applyFill="1" applyBorder="1"/>
    <xf numFmtId="168" fontId="44" fillId="9" borderId="14" xfId="29" applyNumberFormat="1" applyFont="1" applyFill="1" applyBorder="1"/>
    <xf numFmtId="168" fontId="43" fillId="0" borderId="0" xfId="0" applyNumberFormat="1" applyFont="1"/>
    <xf numFmtId="0" fontId="48" fillId="0" borderId="0" xfId="0" applyFont="1"/>
    <xf numFmtId="0" fontId="50" fillId="15" borderId="4" xfId="0" applyFont="1" applyFill="1" applyBorder="1" applyAlignment="1">
      <alignment horizontal="center" vertical="center" wrapText="1"/>
    </xf>
    <xf numFmtId="15" fontId="0" fillId="16" borderId="4" xfId="0" applyNumberFormat="1" applyFill="1" applyBorder="1"/>
    <xf numFmtId="15" fontId="0" fillId="12" borderId="4" xfId="0" applyNumberFormat="1" applyFill="1" applyBorder="1"/>
    <xf numFmtId="15" fontId="0" fillId="16" borderId="4" xfId="0" applyNumberFormat="1" applyFill="1" applyBorder="1" applyAlignment="1">
      <alignment horizontal="center" vertical="center"/>
    </xf>
    <xf numFmtId="15" fontId="0" fillId="12" borderId="4" xfId="0" applyNumberFormat="1" applyFill="1" applyBorder="1" applyAlignment="1">
      <alignment horizontal="center" vertical="center"/>
    </xf>
    <xf numFmtId="0" fontId="50" fillId="17" borderId="4" xfId="0" applyFont="1" applyFill="1" applyBorder="1" applyAlignment="1">
      <alignment horizontal="center"/>
    </xf>
    <xf numFmtId="0" fontId="50" fillId="0" borderId="4" xfId="0" applyFont="1" applyBorder="1"/>
    <xf numFmtId="1" fontId="50" fillId="17" borderId="4" xfId="0" applyNumberFormat="1" applyFont="1" applyFill="1" applyBorder="1"/>
    <xf numFmtId="1" fontId="50" fillId="18" borderId="4" xfId="0" applyNumberFormat="1" applyFont="1" applyFill="1" applyBorder="1"/>
    <xf numFmtId="0" fontId="50" fillId="0" borderId="4" xfId="0" applyFont="1" applyBorder="1" applyAlignment="1">
      <alignment horizontal="left"/>
    </xf>
    <xf numFmtId="1" fontId="42" fillId="12" borderId="4" xfId="0" applyNumberFormat="1" applyFont="1" applyFill="1" applyBorder="1"/>
    <xf numFmtId="1" fontId="42" fillId="0" borderId="4" xfId="0" applyNumberFormat="1" applyFont="1" applyBorder="1"/>
    <xf numFmtId="1" fontId="0" fillId="12" borderId="4" xfId="0" applyNumberFormat="1" applyFill="1" applyBorder="1"/>
    <xf numFmtId="1" fontId="0" fillId="0" borderId="4" xfId="0" applyNumberFormat="1" applyBorder="1"/>
    <xf numFmtId="0" fontId="50" fillId="19" borderId="4" xfId="0" applyFont="1" applyFill="1" applyBorder="1" applyAlignment="1">
      <alignment horizontal="center"/>
    </xf>
    <xf numFmtId="0" fontId="50" fillId="19" borderId="4" xfId="0" applyFont="1" applyFill="1" applyBorder="1"/>
    <xf numFmtId="1" fontId="0" fillId="9" borderId="4" xfId="0" applyNumberFormat="1" applyFill="1" applyBorder="1"/>
    <xf numFmtId="0" fontId="19" fillId="5" borderId="4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left"/>
    </xf>
    <xf numFmtId="0" fontId="16" fillId="5" borderId="7" xfId="0" applyFont="1" applyFill="1" applyBorder="1"/>
    <xf numFmtId="168" fontId="16" fillId="0" borderId="58" xfId="29" applyNumberFormat="1" applyFont="1" applyFill="1" applyBorder="1"/>
    <xf numFmtId="168" fontId="16" fillId="5" borderId="0" xfId="29" applyNumberFormat="1" applyFont="1" applyFill="1" applyBorder="1"/>
    <xf numFmtId="168" fontId="16" fillId="5" borderId="34" xfId="29" applyNumberFormat="1" applyFont="1" applyFill="1" applyBorder="1"/>
    <xf numFmtId="0" fontId="16" fillId="5" borderId="7" xfId="0" applyFont="1" applyFill="1" applyBorder="1" applyAlignment="1">
      <alignment horizontal="left" wrapText="1"/>
    </xf>
    <xf numFmtId="168" fontId="16" fillId="5" borderId="58" xfId="29" applyNumberFormat="1" applyFont="1" applyFill="1" applyBorder="1"/>
    <xf numFmtId="0" fontId="50" fillId="19" borderId="0" xfId="0" applyFont="1" applyFill="1" applyAlignment="1">
      <alignment horizontal="center"/>
    </xf>
    <xf numFmtId="0" fontId="50" fillId="19" borderId="0" xfId="0" applyFont="1" applyFill="1"/>
    <xf numFmtId="1" fontId="0" fillId="0" borderId="0" xfId="0" applyNumberFormat="1"/>
    <xf numFmtId="1" fontId="0" fillId="9" borderId="0" xfId="0" applyNumberFormat="1" applyFill="1"/>
    <xf numFmtId="1" fontId="0" fillId="12" borderId="0" xfId="0" applyNumberFormat="1" applyFill="1"/>
    <xf numFmtId="168" fontId="19" fillId="5" borderId="58" xfId="29" applyNumberFormat="1" applyFont="1" applyFill="1" applyBorder="1"/>
    <xf numFmtId="0" fontId="14" fillId="9" borderId="4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6" xfId="12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/>
    </xf>
    <xf numFmtId="0" fontId="14" fillId="9" borderId="56" xfId="0" applyFont="1" applyFill="1" applyBorder="1" applyAlignment="1">
      <alignment horizontal="center" vertical="center"/>
    </xf>
    <xf numFmtId="164" fontId="19" fillId="0" borderId="12" xfId="29" applyFont="1" applyBorder="1"/>
    <xf numFmtId="164" fontId="19" fillId="0" borderId="14" xfId="29" applyFont="1" applyBorder="1"/>
    <xf numFmtId="2" fontId="19" fillId="11" borderId="13" xfId="0" applyNumberFormat="1" applyFont="1" applyFill="1" applyBorder="1"/>
    <xf numFmtId="10" fontId="15" fillId="10" borderId="6" xfId="29" applyNumberFormat="1" applyFont="1" applyFill="1" applyBorder="1" applyAlignment="1">
      <alignment horizontal="right"/>
    </xf>
    <xf numFmtId="10" fontId="14" fillId="9" borderId="6" xfId="33" applyNumberFormat="1" applyFont="1" applyFill="1" applyBorder="1" applyAlignment="1">
      <alignment vertical="center"/>
    </xf>
    <xf numFmtId="164" fontId="35" fillId="0" borderId="0" xfId="29" applyFont="1" applyFill="1" applyBorder="1" applyAlignment="1">
      <alignment horizontal="right" vertical="center"/>
    </xf>
    <xf numFmtId="10" fontId="15" fillId="0" borderId="14" xfId="33" applyNumberFormat="1" applyFont="1" applyFill="1" applyBorder="1"/>
    <xf numFmtId="0" fontId="16" fillId="9" borderId="3" xfId="0" applyFont="1" applyFill="1" applyBorder="1" applyAlignment="1">
      <alignment horizontal="center" vertical="center" wrapText="1"/>
    </xf>
    <xf numFmtId="0" fontId="16" fillId="9" borderId="57" xfId="0" applyFont="1" applyFill="1" applyBorder="1" applyAlignment="1">
      <alignment horizontal="center"/>
    </xf>
    <xf numFmtId="168" fontId="19" fillId="5" borderId="7" xfId="29" applyNumberFormat="1" applyFont="1" applyFill="1" applyBorder="1"/>
    <xf numFmtId="170" fontId="15" fillId="0" borderId="4" xfId="0" applyNumberFormat="1" applyFont="1" applyBorder="1" applyAlignment="1">
      <alignment horizontal="right" vertical="center"/>
    </xf>
    <xf numFmtId="2" fontId="30" fillId="5" borderId="4" xfId="0" applyNumberFormat="1" applyFont="1" applyFill="1" applyBorder="1" applyAlignment="1">
      <alignment vertical="center"/>
    </xf>
    <xf numFmtId="164" fontId="15" fillId="5" borderId="9" xfId="29" applyFont="1" applyFill="1" applyBorder="1" applyAlignment="1">
      <alignment horizontal="center" vertical="center"/>
    </xf>
    <xf numFmtId="0" fontId="51" fillId="0" borderId="0" xfId="0" applyFont="1"/>
    <xf numFmtId="43" fontId="51" fillId="0" borderId="0" xfId="0" applyNumberFormat="1" applyFont="1"/>
    <xf numFmtId="172" fontId="34" fillId="5" borderId="4" xfId="33" applyNumberFormat="1" applyFont="1" applyFill="1" applyBorder="1" applyAlignment="1">
      <alignment vertical="center"/>
    </xf>
    <xf numFmtId="0" fontId="19" fillId="0" borderId="16" xfId="0" applyFont="1" applyBorder="1" applyAlignment="1">
      <alignment horizontal="center"/>
    </xf>
    <xf numFmtId="1" fontId="19" fillId="0" borderId="9" xfId="0" applyNumberFormat="1" applyFont="1" applyBorder="1"/>
    <xf numFmtId="2" fontId="19" fillId="0" borderId="9" xfId="0" applyNumberFormat="1" applyFont="1" applyBorder="1" applyAlignment="1">
      <alignment horizontal="right"/>
    </xf>
    <xf numFmtId="168" fontId="19" fillId="0" borderId="9" xfId="29" applyNumberFormat="1" applyFont="1" applyBorder="1"/>
    <xf numFmtId="0" fontId="19" fillId="0" borderId="29" xfId="0" applyFont="1" applyBorder="1"/>
    <xf numFmtId="1" fontId="19" fillId="0" borderId="13" xfId="0" applyNumberFormat="1" applyFont="1" applyBorder="1"/>
    <xf numFmtId="2" fontId="19" fillId="0" borderId="13" xfId="0" applyNumberFormat="1" applyFont="1" applyBorder="1" applyAlignment="1">
      <alignment horizontal="right"/>
    </xf>
    <xf numFmtId="168" fontId="19" fillId="0" borderId="29" xfId="29" applyNumberFormat="1" applyFont="1" applyBorder="1"/>
    <xf numFmtId="164" fontId="19" fillId="0" borderId="9" xfId="29" applyFont="1" applyBorder="1"/>
    <xf numFmtId="164" fontId="19" fillId="0" borderId="29" xfId="29" applyFont="1" applyBorder="1"/>
    <xf numFmtId="168" fontId="13" fillId="5" borderId="4" xfId="4" applyNumberFormat="1" applyFont="1" applyFill="1" applyBorder="1" applyAlignment="1">
      <alignment vertical="center"/>
    </xf>
    <xf numFmtId="168" fontId="13" fillId="0" borderId="4" xfId="4" applyNumberFormat="1" applyFont="1" applyFill="1" applyBorder="1" applyAlignment="1">
      <alignment horizontal="right" vertical="center"/>
    </xf>
    <xf numFmtId="168" fontId="13" fillId="5" borderId="18" xfId="4" applyNumberFormat="1" applyFont="1" applyFill="1" applyBorder="1" applyAlignment="1">
      <alignment vertical="center"/>
    </xf>
    <xf numFmtId="168" fontId="13" fillId="0" borderId="18" xfId="4" applyNumberFormat="1" applyFont="1" applyBorder="1"/>
    <xf numFmtId="168" fontId="13" fillId="0" borderId="4" xfId="4" applyNumberFormat="1" applyFont="1" applyBorder="1"/>
    <xf numFmtId="168" fontId="13" fillId="0" borderId="4" xfId="4" applyNumberFormat="1" applyFont="1" applyFill="1" applyBorder="1" applyAlignment="1">
      <alignment horizontal="center" vertical="center"/>
    </xf>
    <xf numFmtId="168" fontId="29" fillId="0" borderId="4" xfId="4" applyNumberFormat="1" applyFont="1" applyFill="1" applyBorder="1" applyAlignment="1">
      <alignment horizontal="center" vertical="center"/>
    </xf>
    <xf numFmtId="0" fontId="53" fillId="0" borderId="11" xfId="0" applyFont="1" applyBorder="1" applyAlignment="1">
      <alignment horizontal="center"/>
    </xf>
    <xf numFmtId="0" fontId="53" fillId="0" borderId="4" xfId="0" applyFont="1" applyBorder="1" applyAlignment="1">
      <alignment horizontal="center"/>
    </xf>
    <xf numFmtId="164" fontId="52" fillId="0" borderId="7" xfId="30" applyNumberFormat="1" applyFont="1" applyFill="1" applyBorder="1"/>
    <xf numFmtId="0" fontId="51" fillId="0" borderId="7" xfId="0" applyFont="1" applyBorder="1"/>
    <xf numFmtId="164" fontId="41" fillId="0" borderId="7" xfId="30" applyNumberFormat="1" applyFont="1" applyFill="1" applyBorder="1" applyAlignment="1">
      <alignment horizontal="left" indent="2"/>
    </xf>
    <xf numFmtId="164" fontId="52" fillId="0" borderId="7" xfId="30" applyNumberFormat="1" applyFont="1" applyFill="1" applyBorder="1" applyAlignment="1">
      <alignment horizontal="left" indent="2"/>
    </xf>
    <xf numFmtId="43" fontId="51" fillId="0" borderId="7" xfId="0" applyNumberFormat="1" applyFont="1" applyBorder="1"/>
    <xf numFmtId="164" fontId="41" fillId="0" borderId="18" xfId="30" applyNumberFormat="1" applyFont="1" applyFill="1" applyBorder="1" applyAlignment="1">
      <alignment horizontal="left" indent="2"/>
    </xf>
    <xf numFmtId="164" fontId="41" fillId="0" borderId="7" xfId="30" applyNumberFormat="1" applyFont="1" applyFill="1" applyBorder="1"/>
    <xf numFmtId="43" fontId="51" fillId="0" borderId="7" xfId="47" applyFont="1" applyFill="1" applyBorder="1"/>
    <xf numFmtId="164" fontId="52" fillId="0" borderId="37" xfId="30" applyNumberFormat="1" applyFont="1" applyFill="1" applyBorder="1"/>
    <xf numFmtId="0" fontId="51" fillId="0" borderId="21" xfId="0" applyFont="1" applyBorder="1"/>
    <xf numFmtId="0" fontId="51" fillId="0" borderId="18" xfId="0" applyFont="1" applyBorder="1"/>
    <xf numFmtId="0" fontId="16" fillId="6" borderId="12" xfId="18" applyFont="1" applyFill="1" applyBorder="1" applyAlignment="1">
      <alignment horizontal="center" vertical="center" wrapText="1"/>
    </xf>
    <xf numFmtId="164" fontId="15" fillId="5" borderId="6" xfId="29" applyFont="1" applyFill="1" applyBorder="1" applyAlignment="1">
      <alignment horizontal="center" vertical="center"/>
    </xf>
    <xf numFmtId="0" fontId="36" fillId="0" borderId="23" xfId="0" applyFont="1" applyBorder="1" applyAlignment="1">
      <alignment horizontal="left"/>
    </xf>
    <xf numFmtId="0" fontId="13" fillId="0" borderId="0" xfId="48" applyFont="1"/>
    <xf numFmtId="0" fontId="48" fillId="0" borderId="0" xfId="48" applyFont="1"/>
    <xf numFmtId="0" fontId="54" fillId="0" borderId="0" xfId="48"/>
    <xf numFmtId="0" fontId="16" fillId="21" borderId="73" xfId="48" applyFont="1" applyFill="1" applyBorder="1" applyAlignment="1">
      <alignment horizontal="center" vertical="center" wrapText="1"/>
    </xf>
    <xf numFmtId="0" fontId="55" fillId="0" borderId="73" xfId="48" applyFont="1" applyBorder="1"/>
    <xf numFmtId="0" fontId="16" fillId="21" borderId="75" xfId="48" applyFont="1" applyFill="1" applyBorder="1" applyAlignment="1">
      <alignment horizontal="center"/>
    </xf>
    <xf numFmtId="0" fontId="16" fillId="21" borderId="79" xfId="48" applyFont="1" applyFill="1" applyBorder="1" applyAlignment="1">
      <alignment horizontal="center"/>
    </xf>
    <xf numFmtId="0" fontId="16" fillId="21" borderId="81" xfId="48" applyFont="1" applyFill="1" applyBorder="1" applyAlignment="1">
      <alignment horizontal="center"/>
    </xf>
    <xf numFmtId="0" fontId="16" fillId="21" borderId="82" xfId="48" applyFont="1" applyFill="1" applyBorder="1" applyAlignment="1">
      <alignment horizontal="center"/>
    </xf>
    <xf numFmtId="0" fontId="16" fillId="21" borderId="83" xfId="48" applyFont="1" applyFill="1" applyBorder="1" applyAlignment="1">
      <alignment horizontal="center"/>
    </xf>
    <xf numFmtId="0" fontId="13" fillId="23" borderId="0" xfId="48" applyFont="1" applyFill="1"/>
    <xf numFmtId="0" fontId="19" fillId="17" borderId="84" xfId="48" applyFont="1" applyFill="1" applyBorder="1" applyAlignment="1">
      <alignment horizontal="center"/>
    </xf>
    <xf numFmtId="0" fontId="19" fillId="0" borderId="85" xfId="48" applyFont="1" applyBorder="1"/>
    <xf numFmtId="0" fontId="19" fillId="17" borderId="85" xfId="48" applyFont="1" applyFill="1" applyBorder="1"/>
    <xf numFmtId="168" fontId="19" fillId="17" borderId="85" xfId="48" applyNumberFormat="1" applyFont="1" applyFill="1" applyBorder="1"/>
    <xf numFmtId="168" fontId="19" fillId="17" borderId="80" xfId="48" applyNumberFormat="1" applyFont="1" applyFill="1" applyBorder="1"/>
    <xf numFmtId="168" fontId="19" fillId="17" borderId="86" xfId="48" applyNumberFormat="1" applyFont="1" applyFill="1" applyBorder="1"/>
    <xf numFmtId="168" fontId="13" fillId="23" borderId="0" xfId="48" applyNumberFormat="1" applyFont="1" applyFill="1"/>
    <xf numFmtId="0" fontId="19" fillId="17" borderId="87" xfId="48" applyFont="1" applyFill="1" applyBorder="1" applyAlignment="1">
      <alignment horizontal="center"/>
    </xf>
    <xf numFmtId="0" fontId="19" fillId="0" borderId="75" xfId="48" applyFont="1" applyBorder="1"/>
    <xf numFmtId="0" fontId="19" fillId="17" borderId="75" xfId="48" applyFont="1" applyFill="1" applyBorder="1"/>
    <xf numFmtId="168" fontId="19" fillId="17" borderId="75" xfId="48" applyNumberFormat="1" applyFont="1" applyFill="1" applyBorder="1"/>
    <xf numFmtId="168" fontId="19" fillId="17" borderId="88" xfId="48" applyNumberFormat="1" applyFont="1" applyFill="1" applyBorder="1"/>
    <xf numFmtId="0" fontId="19" fillId="0" borderId="75" xfId="48" applyFont="1" applyBorder="1" applyAlignment="1">
      <alignment horizontal="left"/>
    </xf>
    <xf numFmtId="168" fontId="13" fillId="0" borderId="0" xfId="48" applyNumberFormat="1" applyFont="1"/>
    <xf numFmtId="0" fontId="19" fillId="17" borderId="81" xfId="48" applyFont="1" applyFill="1" applyBorder="1" applyAlignment="1">
      <alignment horizontal="center"/>
    </xf>
    <xf numFmtId="0" fontId="19" fillId="17" borderId="82" xfId="48" applyFont="1" applyFill="1" applyBorder="1"/>
    <xf numFmtId="168" fontId="19" fillId="17" borderId="82" xfId="48" applyNumberFormat="1" applyFont="1" applyFill="1" applyBorder="1"/>
    <xf numFmtId="0" fontId="19" fillId="17" borderId="89" xfId="48" applyFont="1" applyFill="1" applyBorder="1" applyAlignment="1">
      <alignment horizontal="center"/>
    </xf>
    <xf numFmtId="0" fontId="16" fillId="17" borderId="90" xfId="48" applyFont="1" applyFill="1" applyBorder="1" applyAlignment="1">
      <alignment horizontal="left"/>
    </xf>
    <xf numFmtId="0" fontId="16" fillId="17" borderId="90" xfId="48" applyFont="1" applyFill="1" applyBorder="1"/>
    <xf numFmtId="168" fontId="16" fillId="17" borderId="90" xfId="48" applyNumberFormat="1" applyFont="1" applyFill="1" applyBorder="1"/>
    <xf numFmtId="168" fontId="16" fillId="17" borderId="91" xfId="48" applyNumberFormat="1" applyFont="1" applyFill="1" applyBorder="1"/>
    <xf numFmtId="168" fontId="16" fillId="17" borderId="92" xfId="48" applyNumberFormat="1" applyFont="1" applyFill="1" applyBorder="1"/>
    <xf numFmtId="0" fontId="19" fillId="17" borderId="93" xfId="48" applyFont="1" applyFill="1" applyBorder="1" applyAlignment="1">
      <alignment horizontal="center"/>
    </xf>
    <xf numFmtId="0" fontId="16" fillId="17" borderId="94" xfId="48" applyFont="1" applyFill="1" applyBorder="1" applyAlignment="1">
      <alignment horizontal="left" wrapText="1"/>
    </xf>
    <xf numFmtId="0" fontId="16" fillId="17" borderId="95" xfId="48" applyFont="1" applyFill="1" applyBorder="1"/>
    <xf numFmtId="168" fontId="19" fillId="17" borderId="93" xfId="48" applyNumberFormat="1" applyFont="1" applyFill="1" applyBorder="1"/>
    <xf numFmtId="168" fontId="19" fillId="17" borderId="96" xfId="48" applyNumberFormat="1" applyFont="1" applyFill="1" applyBorder="1"/>
    <xf numFmtId="168" fontId="19" fillId="17" borderId="94" xfId="48" applyNumberFormat="1" applyFont="1" applyFill="1" applyBorder="1"/>
    <xf numFmtId="168" fontId="16" fillId="17" borderId="94" xfId="48" applyNumberFormat="1" applyFont="1" applyFill="1" applyBorder="1"/>
    <xf numFmtId="168" fontId="16" fillId="17" borderId="97" xfId="48" applyNumberFormat="1" applyFont="1" applyFill="1" applyBorder="1"/>
    <xf numFmtId="0" fontId="19" fillId="17" borderId="98" xfId="48" applyFont="1" applyFill="1" applyBorder="1" applyAlignment="1">
      <alignment horizontal="center"/>
    </xf>
    <xf numFmtId="0" fontId="16" fillId="17" borderId="71" xfId="48" applyFont="1" applyFill="1" applyBorder="1" applyAlignment="1">
      <alignment horizontal="left"/>
    </xf>
    <xf numFmtId="0" fontId="16" fillId="17" borderId="71" xfId="48" applyFont="1" applyFill="1" applyBorder="1"/>
    <xf numFmtId="168" fontId="16" fillId="17" borderId="99" xfId="48" applyNumberFormat="1" applyFont="1" applyFill="1" applyBorder="1"/>
    <xf numFmtId="168" fontId="16" fillId="17" borderId="0" xfId="48" applyNumberFormat="1" applyFont="1" applyFill="1"/>
    <xf numFmtId="168" fontId="16" fillId="17" borderId="100" xfId="48" applyNumberFormat="1" applyFont="1" applyFill="1" applyBorder="1"/>
    <xf numFmtId="0" fontId="16" fillId="21" borderId="101" xfId="48" applyFont="1" applyFill="1" applyBorder="1" applyAlignment="1">
      <alignment horizontal="center" vertical="center" wrapText="1"/>
    </xf>
    <xf numFmtId="0" fontId="16" fillId="21" borderId="102" xfId="48" applyFont="1" applyFill="1" applyBorder="1" applyAlignment="1">
      <alignment horizontal="center" vertical="center" wrapText="1"/>
    </xf>
    <xf numFmtId="0" fontId="16" fillId="21" borderId="98" xfId="48" applyFont="1" applyFill="1" applyBorder="1" applyAlignment="1">
      <alignment horizontal="center" vertical="center" wrapText="1"/>
    </xf>
    <xf numFmtId="0" fontId="16" fillId="21" borderId="71" xfId="48" applyFont="1" applyFill="1" applyBorder="1" applyAlignment="1">
      <alignment horizontal="center" vertical="center" wrapText="1"/>
    </xf>
    <xf numFmtId="0" fontId="16" fillId="21" borderId="107" xfId="48" applyFont="1" applyFill="1" applyBorder="1" applyAlignment="1">
      <alignment horizontal="center" vertical="center" wrapText="1"/>
    </xf>
    <xf numFmtId="0" fontId="16" fillId="21" borderId="78" xfId="48" applyFont="1" applyFill="1" applyBorder="1" applyAlignment="1">
      <alignment horizontal="center" vertical="center" wrapText="1"/>
    </xf>
    <xf numFmtId="0" fontId="16" fillId="21" borderId="108" xfId="48" applyFont="1" applyFill="1" applyBorder="1" applyAlignment="1">
      <alignment horizontal="center"/>
    </xf>
    <xf numFmtId="0" fontId="16" fillId="21" borderId="109" xfId="48" applyFont="1" applyFill="1" applyBorder="1" applyAlignment="1">
      <alignment horizontal="center"/>
    </xf>
    <xf numFmtId="0" fontId="16" fillId="21" borderId="110" xfId="48" applyFont="1" applyFill="1" applyBorder="1" applyAlignment="1">
      <alignment horizontal="center"/>
    </xf>
    <xf numFmtId="0" fontId="16" fillId="21" borderId="111" xfId="48" applyFont="1" applyFill="1" applyBorder="1" applyAlignment="1">
      <alignment horizontal="center"/>
    </xf>
    <xf numFmtId="0" fontId="16" fillId="21" borderId="112" xfId="48" applyFont="1" applyFill="1" applyBorder="1" applyAlignment="1">
      <alignment horizontal="center"/>
    </xf>
    <xf numFmtId="0" fontId="19" fillId="17" borderId="113" xfId="48" applyFont="1" applyFill="1" applyBorder="1" applyAlignment="1">
      <alignment horizontal="center"/>
    </xf>
    <xf numFmtId="168" fontId="19" fillId="0" borderId="75" xfId="48" applyNumberFormat="1" applyFont="1" applyBorder="1"/>
    <xf numFmtId="168" fontId="19" fillId="17" borderId="108" xfId="48" applyNumberFormat="1" applyFont="1" applyFill="1" applyBorder="1"/>
    <xf numFmtId="0" fontId="19" fillId="17" borderId="114" xfId="48" applyFont="1" applyFill="1" applyBorder="1" applyAlignment="1">
      <alignment horizontal="center"/>
    </xf>
    <xf numFmtId="0" fontId="19" fillId="17" borderId="109" xfId="48" applyFont="1" applyFill="1" applyBorder="1" applyAlignment="1">
      <alignment horizontal="center"/>
    </xf>
    <xf numFmtId="0" fontId="16" fillId="17" borderId="110" xfId="48" applyFont="1" applyFill="1" applyBorder="1" applyAlignment="1">
      <alignment horizontal="left"/>
    </xf>
    <xf numFmtId="0" fontId="16" fillId="17" borderId="110" xfId="48" applyFont="1" applyFill="1" applyBorder="1"/>
    <xf numFmtId="168" fontId="16" fillId="0" borderId="110" xfId="48" applyNumberFormat="1" applyFont="1" applyBorder="1"/>
    <xf numFmtId="168" fontId="16" fillId="17" borderId="110" xfId="48" applyNumberFormat="1" applyFont="1" applyFill="1" applyBorder="1"/>
    <xf numFmtId="0" fontId="19" fillId="0" borderId="115" xfId="48" applyFont="1" applyBorder="1" applyAlignment="1">
      <alignment horizontal="center"/>
    </xf>
    <xf numFmtId="0" fontId="16" fillId="0" borderId="102" xfId="48" applyFont="1" applyBorder="1" applyAlignment="1">
      <alignment horizontal="left" wrapText="1"/>
    </xf>
    <xf numFmtId="168" fontId="16" fillId="0" borderId="60" xfId="48" applyNumberFormat="1" applyFont="1" applyBorder="1"/>
    <xf numFmtId="168" fontId="16" fillId="0" borderId="61" xfId="48" applyNumberFormat="1" applyFont="1" applyBorder="1"/>
    <xf numFmtId="0" fontId="19" fillId="17" borderId="117" xfId="48" applyFont="1" applyFill="1" applyBorder="1" applyAlignment="1">
      <alignment horizontal="center"/>
    </xf>
    <xf numFmtId="0" fontId="16" fillId="17" borderId="115" xfId="48" applyFont="1" applyFill="1" applyBorder="1" applyAlignment="1">
      <alignment horizontal="left"/>
    </xf>
    <xf numFmtId="0" fontId="16" fillId="17" borderId="118" xfId="48" applyFont="1" applyFill="1" applyBorder="1"/>
    <xf numFmtId="168" fontId="16" fillId="0" borderId="116" xfId="48" applyNumberFormat="1" applyFont="1" applyBorder="1"/>
    <xf numFmtId="168" fontId="16" fillId="0" borderId="63" xfId="48" applyNumberFormat="1" applyFont="1" applyBorder="1"/>
    <xf numFmtId="0" fontId="13" fillId="0" borderId="63" xfId="48" applyFont="1" applyBorder="1"/>
    <xf numFmtId="168" fontId="16" fillId="17" borderId="63" xfId="48" applyNumberFormat="1" applyFont="1" applyFill="1" applyBorder="1"/>
    <xf numFmtId="168" fontId="16" fillId="17" borderId="64" xfId="48" applyNumberFormat="1" applyFont="1" applyFill="1" applyBorder="1"/>
    <xf numFmtId="0" fontId="16" fillId="21" borderId="119" xfId="48" applyFont="1" applyFill="1" applyBorder="1" applyAlignment="1">
      <alignment horizontal="center"/>
    </xf>
    <xf numFmtId="0" fontId="16" fillId="21" borderId="120" xfId="48" applyFont="1" applyFill="1" applyBorder="1" applyAlignment="1">
      <alignment horizontal="center"/>
    </xf>
    <xf numFmtId="0" fontId="16" fillId="21" borderId="121" xfId="48" applyFont="1" applyFill="1" applyBorder="1" applyAlignment="1">
      <alignment horizontal="center"/>
    </xf>
    <xf numFmtId="0" fontId="16" fillId="21" borderId="122" xfId="48" applyFont="1" applyFill="1" applyBorder="1" applyAlignment="1">
      <alignment horizontal="center"/>
    </xf>
    <xf numFmtId="0" fontId="19" fillId="17" borderId="107" xfId="48" applyFont="1" applyFill="1" applyBorder="1" applyAlignment="1">
      <alignment horizontal="center"/>
    </xf>
    <xf numFmtId="0" fontId="19" fillId="0" borderId="78" xfId="48" applyFont="1" applyBorder="1"/>
    <xf numFmtId="0" fontId="19" fillId="17" borderId="78" xfId="48" applyFont="1" applyFill="1" applyBorder="1"/>
    <xf numFmtId="168" fontId="19" fillId="17" borderId="78" xfId="48" applyNumberFormat="1" applyFont="1" applyFill="1" applyBorder="1"/>
    <xf numFmtId="168" fontId="19" fillId="17" borderId="123" xfId="48" applyNumberFormat="1" applyFont="1" applyFill="1" applyBorder="1"/>
    <xf numFmtId="0" fontId="19" fillId="21" borderId="109" xfId="48" applyFont="1" applyFill="1" applyBorder="1" applyAlignment="1">
      <alignment horizontal="center"/>
    </xf>
    <xf numFmtId="0" fontId="16" fillId="21" borderId="110" xfId="48" applyFont="1" applyFill="1" applyBorder="1" applyAlignment="1">
      <alignment horizontal="left"/>
    </xf>
    <xf numFmtId="0" fontId="16" fillId="21" borderId="110" xfId="48" applyFont="1" applyFill="1" applyBorder="1"/>
    <xf numFmtId="168" fontId="16" fillId="21" borderId="110" xfId="48" applyNumberFormat="1" applyFont="1" applyFill="1" applyBorder="1"/>
    <xf numFmtId="164" fontId="29" fillId="0" borderId="0" xfId="48" applyNumberFormat="1" applyFont="1"/>
    <xf numFmtId="0" fontId="19" fillId="0" borderId="0" xfId="48" applyFont="1"/>
    <xf numFmtId="168" fontId="19" fillId="0" borderId="0" xfId="48" applyNumberFormat="1" applyFont="1"/>
    <xf numFmtId="0" fontId="29" fillId="0" borderId="0" xfId="48" applyFont="1" applyAlignment="1">
      <alignment horizontal="right"/>
    </xf>
    <xf numFmtId="173" fontId="34" fillId="0" borderId="0" xfId="48" applyNumberFormat="1" applyFont="1"/>
    <xf numFmtId="0" fontId="29" fillId="0" borderId="0" xfId="48" applyFont="1"/>
    <xf numFmtId="0" fontId="34" fillId="0" borderId="0" xfId="48" applyFont="1"/>
    <xf numFmtId="164" fontId="34" fillId="0" borderId="0" xfId="48" applyNumberFormat="1" applyFont="1" applyAlignment="1">
      <alignment horizontal="right"/>
    </xf>
    <xf numFmtId="164" fontId="14" fillId="8" borderId="43" xfId="0" applyNumberFormat="1" applyFont="1" applyFill="1" applyBorder="1" applyAlignment="1">
      <alignment horizontal="center"/>
    </xf>
    <xf numFmtId="0" fontId="28" fillId="9" borderId="4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center" vertical="center"/>
    </xf>
    <xf numFmtId="0" fontId="30" fillId="9" borderId="4" xfId="0" applyFont="1" applyFill="1" applyBorder="1"/>
    <xf numFmtId="0" fontId="24" fillId="9" borderId="4" xfId="0" applyFont="1" applyFill="1" applyBorder="1"/>
    <xf numFmtId="164" fontId="24" fillId="9" borderId="4" xfId="29" applyFont="1" applyFill="1" applyBorder="1"/>
    <xf numFmtId="0" fontId="14" fillId="9" borderId="28" xfId="1" applyFont="1" applyFill="1" applyBorder="1" applyAlignment="1">
      <alignment horizontal="center"/>
    </xf>
    <xf numFmtId="0" fontId="14" fillId="9" borderId="31" xfId="1" applyFont="1" applyFill="1" applyBorder="1" applyAlignment="1">
      <alignment horizontal="center"/>
    </xf>
    <xf numFmtId="0" fontId="14" fillId="9" borderId="45" xfId="1" applyFont="1" applyFill="1" applyBorder="1" applyAlignment="1">
      <alignment horizontal="center"/>
    </xf>
    <xf numFmtId="0" fontId="15" fillId="4" borderId="41" xfId="1" applyFont="1" applyFill="1" applyBorder="1" applyAlignment="1">
      <alignment horizontal="center"/>
    </xf>
    <xf numFmtId="0" fontId="15" fillId="4" borderId="42" xfId="1" applyFont="1" applyFill="1" applyBorder="1" applyAlignment="1">
      <alignment horizontal="center"/>
    </xf>
    <xf numFmtId="0" fontId="15" fillId="4" borderId="43" xfId="1" applyFont="1" applyFill="1" applyBorder="1" applyAlignment="1">
      <alignment horizontal="center"/>
    </xf>
    <xf numFmtId="0" fontId="15" fillId="4" borderId="32" xfId="1" applyFont="1" applyFill="1" applyBorder="1" applyAlignment="1">
      <alignment horizontal="right"/>
    </xf>
    <xf numFmtId="0" fontId="15" fillId="4" borderId="29" xfId="1" applyFont="1" applyFill="1" applyBorder="1" applyAlignment="1">
      <alignment horizontal="right"/>
    </xf>
    <xf numFmtId="0" fontId="15" fillId="4" borderId="30" xfId="1" applyFont="1" applyFill="1" applyBorder="1" applyAlignment="1">
      <alignment horizontal="right"/>
    </xf>
    <xf numFmtId="0" fontId="14" fillId="6" borderId="16" xfId="21" applyFont="1" applyFill="1" applyBorder="1" applyAlignment="1">
      <alignment horizontal="center" vertical="center" wrapText="1"/>
    </xf>
    <xf numFmtId="0" fontId="15" fillId="0" borderId="8" xfId="1" applyFont="1" applyBorder="1" applyAlignment="1">
      <alignment horizontal="center"/>
    </xf>
    <xf numFmtId="0" fontId="14" fillId="6" borderId="9" xfId="21" applyFont="1" applyFill="1" applyBorder="1" applyAlignment="1">
      <alignment horizontal="center" vertical="center"/>
    </xf>
    <xf numFmtId="0" fontId="15" fillId="0" borderId="4" xfId="1" applyFont="1" applyBorder="1"/>
    <xf numFmtId="0" fontId="14" fillId="6" borderId="9" xfId="21" applyFont="1" applyFill="1" applyBorder="1" applyAlignment="1">
      <alignment horizontal="center" vertical="center" wrapText="1"/>
    </xf>
    <xf numFmtId="0" fontId="21" fillId="10" borderId="25" xfId="0" applyFont="1" applyFill="1" applyBorder="1" applyAlignment="1">
      <alignment horizontal="center"/>
    </xf>
    <xf numFmtId="0" fontId="21" fillId="10" borderId="2" xfId="0" applyFont="1" applyFill="1" applyBorder="1" applyAlignment="1">
      <alignment horizontal="center"/>
    </xf>
    <xf numFmtId="0" fontId="21" fillId="10" borderId="26" xfId="0" applyFont="1" applyFill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34" xfId="0" applyFont="1" applyBorder="1" applyAlignment="1">
      <alignment horizontal="center"/>
    </xf>
    <xf numFmtId="0" fontId="16" fillId="10" borderId="25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16" fillId="10" borderId="26" xfId="0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34" xfId="0" applyFont="1" applyBorder="1" applyAlignment="1">
      <alignment horizontal="center"/>
    </xf>
    <xf numFmtId="0" fontId="14" fillId="8" borderId="35" xfId="0" applyFont="1" applyFill="1" applyBorder="1" applyAlignment="1">
      <alignment horizontal="center"/>
    </xf>
    <xf numFmtId="0" fontId="14" fillId="8" borderId="22" xfId="0" applyFont="1" applyFill="1" applyBorder="1" applyAlignment="1">
      <alignment horizontal="center"/>
    </xf>
    <xf numFmtId="0" fontId="14" fillId="8" borderId="36" xfId="0" applyFont="1" applyFill="1" applyBorder="1" applyAlignment="1">
      <alignment horizontal="center"/>
    </xf>
    <xf numFmtId="0" fontId="15" fillId="5" borderId="2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15" fillId="5" borderId="38" xfId="0" applyFont="1" applyFill="1" applyBorder="1" applyAlignment="1">
      <alignment horizontal="right" vertical="center"/>
    </xf>
    <xf numFmtId="0" fontId="15" fillId="5" borderId="39" xfId="0" applyFont="1" applyFill="1" applyBorder="1" applyAlignment="1">
      <alignment horizontal="right" vertical="center"/>
    </xf>
    <xf numFmtId="0" fontId="15" fillId="5" borderId="40" xfId="0" applyFont="1" applyFill="1" applyBorder="1" applyAlignment="1">
      <alignment horizontal="right" vertical="center"/>
    </xf>
    <xf numFmtId="0" fontId="14" fillId="9" borderId="16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4" fillId="9" borderId="8" xfId="27" applyFont="1" applyFill="1" applyBorder="1" applyAlignment="1">
      <alignment horizontal="right" vertical="center" wrapText="1"/>
    </xf>
    <xf numFmtId="0" fontId="14" fillId="9" borderId="4" xfId="27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10" borderId="35" xfId="0" applyFont="1" applyFill="1" applyBorder="1" applyAlignment="1">
      <alignment horizontal="center"/>
    </xf>
    <xf numFmtId="0" fontId="14" fillId="10" borderId="22" xfId="0" applyFont="1" applyFill="1" applyBorder="1" applyAlignment="1">
      <alignment horizontal="center"/>
    </xf>
    <xf numFmtId="0" fontId="14" fillId="10" borderId="36" xfId="0" applyFont="1" applyFill="1" applyBorder="1" applyAlignment="1">
      <alignment horizontal="center"/>
    </xf>
    <xf numFmtId="0" fontId="15" fillId="4" borderId="48" xfId="0" applyFont="1" applyFill="1" applyBorder="1" applyAlignment="1">
      <alignment horizontal="right"/>
    </xf>
    <xf numFmtId="0" fontId="15" fillId="4" borderId="5" xfId="0" applyFont="1" applyFill="1" applyBorder="1" applyAlignment="1">
      <alignment horizontal="right"/>
    </xf>
    <xf numFmtId="0" fontId="15" fillId="4" borderId="49" xfId="0" applyFont="1" applyFill="1" applyBorder="1" applyAlignment="1">
      <alignment horizontal="right"/>
    </xf>
    <xf numFmtId="0" fontId="14" fillId="10" borderId="35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center" vertical="center"/>
    </xf>
    <xf numFmtId="0" fontId="14" fillId="10" borderId="36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5" borderId="26" xfId="0" applyFont="1" applyFill="1" applyBorder="1" applyAlignment="1">
      <alignment horizontal="center"/>
    </xf>
    <xf numFmtId="0" fontId="15" fillId="5" borderId="35" xfId="0" applyFont="1" applyFill="1" applyBorder="1" applyAlignment="1">
      <alignment horizontal="center"/>
    </xf>
    <xf numFmtId="0" fontId="15" fillId="5" borderId="22" xfId="0" applyFont="1" applyFill="1" applyBorder="1" applyAlignment="1">
      <alignment horizontal="center"/>
    </xf>
    <xf numFmtId="0" fontId="15" fillId="5" borderId="36" xfId="0" applyFont="1" applyFill="1" applyBorder="1" applyAlignment="1">
      <alignment horizontal="center"/>
    </xf>
    <xf numFmtId="0" fontId="29" fillId="9" borderId="35" xfId="15" applyFont="1" applyFill="1" applyBorder="1" applyAlignment="1">
      <alignment horizontal="center" wrapText="1"/>
    </xf>
    <xf numFmtId="0" fontId="29" fillId="9" borderId="22" xfId="15" applyFont="1" applyFill="1" applyBorder="1" applyAlignment="1">
      <alignment horizontal="center" wrapText="1"/>
    </xf>
    <xf numFmtId="0" fontId="29" fillId="9" borderId="36" xfId="15" applyFont="1" applyFill="1" applyBorder="1" applyAlignment="1">
      <alignment horizontal="center" wrapText="1"/>
    </xf>
    <xf numFmtId="0" fontId="30" fillId="5" borderId="25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/>
    </xf>
    <xf numFmtId="0" fontId="30" fillId="5" borderId="26" xfId="0" applyFont="1" applyFill="1" applyBorder="1" applyAlignment="1">
      <alignment horizontal="center"/>
    </xf>
    <xf numFmtId="0" fontId="29" fillId="9" borderId="28" xfId="12" applyFont="1" applyFill="1" applyBorder="1" applyAlignment="1">
      <alignment horizontal="center" vertical="center" wrapText="1"/>
    </xf>
    <xf numFmtId="0" fontId="29" fillId="9" borderId="17" xfId="12" applyFont="1" applyFill="1" applyBorder="1" applyAlignment="1">
      <alignment horizontal="center" vertical="center" wrapText="1"/>
    </xf>
    <xf numFmtId="0" fontId="29" fillId="9" borderId="9" xfId="12" applyFont="1" applyFill="1" applyBorder="1" applyAlignment="1">
      <alignment horizontal="center" vertical="center"/>
    </xf>
    <xf numFmtId="0" fontId="29" fillId="9" borderId="4" xfId="12" applyFont="1" applyFill="1" applyBorder="1" applyAlignment="1">
      <alignment horizontal="center" vertical="center"/>
    </xf>
    <xf numFmtId="0" fontId="30" fillId="5" borderId="25" xfId="0" applyFont="1" applyFill="1" applyBorder="1" applyAlignment="1">
      <alignment horizontal="right"/>
    </xf>
    <xf numFmtId="0" fontId="30" fillId="5" borderId="2" xfId="0" applyFont="1" applyFill="1" applyBorder="1" applyAlignment="1">
      <alignment horizontal="right"/>
    </xf>
    <xf numFmtId="0" fontId="30" fillId="5" borderId="26" xfId="0" applyFont="1" applyFill="1" applyBorder="1" applyAlignment="1">
      <alignment horizontal="right"/>
    </xf>
    <xf numFmtId="0" fontId="29" fillId="9" borderId="17" xfId="15" applyFont="1" applyFill="1" applyBorder="1" applyAlignment="1">
      <alignment horizontal="center" vertical="center" wrapText="1"/>
    </xf>
    <xf numFmtId="0" fontId="29" fillId="9" borderId="8" xfId="15" applyFont="1" applyFill="1" applyBorder="1" applyAlignment="1">
      <alignment horizontal="center" vertical="center" wrapText="1"/>
    </xf>
    <xf numFmtId="0" fontId="29" fillId="9" borderId="18" xfId="15" applyFont="1" applyFill="1" applyBorder="1" applyAlignment="1">
      <alignment horizontal="center" vertical="center"/>
    </xf>
    <xf numFmtId="0" fontId="29" fillId="9" borderId="4" xfId="15" applyFont="1" applyFill="1" applyBorder="1" applyAlignment="1">
      <alignment horizontal="center" vertical="center"/>
    </xf>
    <xf numFmtId="0" fontId="29" fillId="9" borderId="19" xfId="15" applyFont="1" applyFill="1" applyBorder="1" applyAlignment="1">
      <alignment horizontal="center" vertical="center"/>
    </xf>
    <xf numFmtId="0" fontId="29" fillId="9" borderId="6" xfId="15" applyFont="1" applyFill="1" applyBorder="1" applyAlignment="1">
      <alignment horizontal="center" vertical="center"/>
    </xf>
    <xf numFmtId="0" fontId="29" fillId="5" borderId="0" xfId="15" applyFont="1" applyFill="1" applyAlignment="1">
      <alignment horizontal="center" wrapText="1"/>
    </xf>
    <xf numFmtId="0" fontId="29" fillId="9" borderId="25" xfId="15" applyFont="1" applyFill="1" applyBorder="1" applyAlignment="1">
      <alignment horizontal="center" wrapText="1"/>
    </xf>
    <xf numFmtId="0" fontId="29" fillId="9" borderId="2" xfId="15" applyFont="1" applyFill="1" applyBorder="1" applyAlignment="1">
      <alignment horizontal="center" wrapText="1"/>
    </xf>
    <xf numFmtId="0" fontId="29" fillId="9" borderId="26" xfId="15" applyFont="1" applyFill="1" applyBorder="1" applyAlignment="1">
      <alignment horizontal="center" wrapText="1"/>
    </xf>
    <xf numFmtId="0" fontId="16" fillId="21" borderId="59" xfId="48" quotePrefix="1" applyFont="1" applyFill="1" applyBorder="1" applyAlignment="1">
      <alignment horizontal="center"/>
    </xf>
    <xf numFmtId="0" fontId="55" fillId="0" borderId="60" xfId="48" applyFont="1" applyBorder="1"/>
    <xf numFmtId="0" fontId="55" fillId="0" borderId="61" xfId="48" applyFont="1" applyBorder="1"/>
    <xf numFmtId="0" fontId="19" fillId="17" borderId="62" xfId="48" applyFont="1" applyFill="1" applyBorder="1" applyAlignment="1">
      <alignment horizontal="center"/>
    </xf>
    <xf numFmtId="0" fontId="55" fillId="0" borderId="63" xfId="48" applyFont="1" applyBorder="1"/>
    <xf numFmtId="0" fontId="55" fillId="0" borderId="64" xfId="48" applyFont="1" applyBorder="1"/>
    <xf numFmtId="0" fontId="19" fillId="17" borderId="59" xfId="48" applyFont="1" applyFill="1" applyBorder="1" applyAlignment="1">
      <alignment horizontal="center"/>
    </xf>
    <xf numFmtId="0" fontId="16" fillId="21" borderId="65" xfId="48" applyFont="1" applyFill="1" applyBorder="1" applyAlignment="1">
      <alignment horizontal="center" vertical="center" wrapText="1"/>
    </xf>
    <xf numFmtId="0" fontId="55" fillId="0" borderId="70" xfId="48" applyFont="1" applyBorder="1"/>
    <xf numFmtId="0" fontId="55" fillId="0" borderId="77" xfId="48" applyFont="1" applyBorder="1"/>
    <xf numFmtId="0" fontId="16" fillId="21" borderId="66" xfId="48" applyFont="1" applyFill="1" applyBorder="1" applyAlignment="1">
      <alignment horizontal="center" vertical="center" wrapText="1"/>
    </xf>
    <xf numFmtId="0" fontId="55" fillId="0" borderId="71" xfId="48" applyFont="1" applyBorder="1"/>
    <xf numFmtId="0" fontId="55" fillId="0" borderId="78" xfId="48" applyFont="1" applyBorder="1"/>
    <xf numFmtId="0" fontId="16" fillId="22" borderId="67" xfId="48" applyFont="1" applyFill="1" applyBorder="1" applyAlignment="1">
      <alignment horizontal="center" vertical="center"/>
    </xf>
    <xf numFmtId="0" fontId="16" fillId="22" borderId="68" xfId="48" applyFont="1" applyFill="1" applyBorder="1" applyAlignment="1">
      <alignment horizontal="center" vertical="center"/>
    </xf>
    <xf numFmtId="0" fontId="55" fillId="0" borderId="68" xfId="48" applyFont="1" applyBorder="1"/>
    <xf numFmtId="0" fontId="55" fillId="0" borderId="69" xfId="48" applyFont="1" applyBorder="1"/>
    <xf numFmtId="0" fontId="16" fillId="21" borderId="72" xfId="48" applyFont="1" applyFill="1" applyBorder="1" applyAlignment="1">
      <alignment horizontal="center" vertical="center" wrapText="1"/>
    </xf>
    <xf numFmtId="0" fontId="16" fillId="21" borderId="73" xfId="48" applyFont="1" applyFill="1" applyBorder="1" applyAlignment="1">
      <alignment horizontal="center" vertical="center" wrapText="1"/>
    </xf>
    <xf numFmtId="0" fontId="55" fillId="0" borderId="73" xfId="48" applyFont="1" applyBorder="1"/>
    <xf numFmtId="0" fontId="55" fillId="0" borderId="74" xfId="48" applyFont="1" applyBorder="1"/>
    <xf numFmtId="0" fontId="55" fillId="0" borderId="76" xfId="48" applyFont="1" applyBorder="1"/>
    <xf numFmtId="0" fontId="16" fillId="21" borderId="102" xfId="48" applyFont="1" applyFill="1" applyBorder="1" applyAlignment="1">
      <alignment horizontal="center" vertical="center" wrapText="1"/>
    </xf>
    <xf numFmtId="0" fontId="16" fillId="22" borderId="103" xfId="48" applyFont="1" applyFill="1" applyBorder="1" applyAlignment="1">
      <alignment horizontal="center" vertical="center"/>
    </xf>
    <xf numFmtId="0" fontId="16" fillId="22" borderId="104" xfId="48" applyFont="1" applyFill="1" applyBorder="1" applyAlignment="1">
      <alignment horizontal="center" vertical="center"/>
    </xf>
    <xf numFmtId="0" fontId="55" fillId="0" borderId="104" xfId="48" applyFont="1" applyBorder="1"/>
    <xf numFmtId="0" fontId="55" fillId="0" borderId="105" xfId="48" applyFont="1" applyBorder="1"/>
    <xf numFmtId="0" fontId="55" fillId="0" borderId="106" xfId="48" applyFont="1" applyBorder="1"/>
    <xf numFmtId="0" fontId="16" fillId="0" borderId="116" xfId="48" quotePrefix="1" applyFont="1" applyBorder="1" applyAlignment="1">
      <alignment horizontal="center"/>
    </xf>
    <xf numFmtId="0" fontId="16" fillId="21" borderId="101" xfId="48" applyFont="1" applyFill="1" applyBorder="1" applyAlignment="1">
      <alignment horizontal="center" vertical="center" wrapText="1"/>
    </xf>
    <xf numFmtId="0" fontId="55" fillId="0" borderId="98" xfId="48" applyFont="1" applyBorder="1"/>
    <xf numFmtId="0" fontId="55" fillId="0" borderId="107" xfId="48" applyFont="1" applyBorder="1"/>
    <xf numFmtId="0" fontId="16" fillId="22" borderId="103" xfId="48" applyFont="1" applyFill="1" applyBorder="1" applyAlignment="1">
      <alignment horizontal="center" vertical="center" wrapText="1"/>
    </xf>
    <xf numFmtId="0" fontId="16" fillId="22" borderId="104" xfId="48" applyFont="1" applyFill="1" applyBorder="1" applyAlignment="1">
      <alignment horizontal="center" vertical="center" wrapText="1"/>
    </xf>
    <xf numFmtId="0" fontId="16" fillId="21" borderId="72" xfId="48" quotePrefix="1" applyFont="1" applyFill="1" applyBorder="1" applyAlignment="1">
      <alignment horizontal="center" vertical="center" wrapText="1"/>
    </xf>
    <xf numFmtId="0" fontId="16" fillId="21" borderId="73" xfId="48" quotePrefix="1" applyFont="1" applyFill="1" applyBorder="1" applyAlignment="1">
      <alignment horizontal="center" vertical="center" wrapText="1"/>
    </xf>
    <xf numFmtId="0" fontId="44" fillId="9" borderId="31" xfId="0" applyFont="1" applyFill="1" applyBorder="1" applyAlignment="1">
      <alignment horizontal="center" vertical="center" wrapText="1"/>
    </xf>
    <xf numFmtId="0" fontId="44" fillId="9" borderId="7" xfId="0" applyFont="1" applyFill="1" applyBorder="1" applyAlignment="1">
      <alignment horizontal="center" vertical="center" wrapText="1"/>
    </xf>
    <xf numFmtId="0" fontId="44" fillId="9" borderId="18" xfId="0" applyFont="1" applyFill="1" applyBorder="1" applyAlignment="1">
      <alignment horizontal="center" vertical="center" wrapText="1"/>
    </xf>
    <xf numFmtId="0" fontId="44" fillId="10" borderId="10" xfId="0" applyFont="1" applyFill="1" applyBorder="1" applyAlignment="1">
      <alignment horizontal="center" vertical="center"/>
    </xf>
    <xf numFmtId="0" fontId="44" fillId="10" borderId="51" xfId="0" applyFont="1" applyFill="1" applyBorder="1" applyAlignment="1">
      <alignment horizontal="center" vertical="center"/>
    </xf>
    <xf numFmtId="0" fontId="44" fillId="10" borderId="52" xfId="0" applyFont="1" applyFill="1" applyBorder="1" applyAlignment="1">
      <alignment horizontal="center" vertical="center"/>
    </xf>
    <xf numFmtId="0" fontId="44" fillId="9" borderId="11" xfId="0" applyFont="1" applyFill="1" applyBorder="1" applyAlignment="1">
      <alignment horizontal="center" vertical="center" wrapText="1"/>
    </xf>
    <xf numFmtId="0" fontId="44" fillId="9" borderId="20" xfId="0" applyFont="1" applyFill="1" applyBorder="1" applyAlignment="1">
      <alignment horizontal="center" vertical="center" wrapText="1"/>
    </xf>
    <xf numFmtId="0" fontId="44" fillId="9" borderId="35" xfId="0" quotePrefix="1" applyFont="1" applyFill="1" applyBorder="1" applyAlignment="1">
      <alignment horizontal="center"/>
    </xf>
    <xf numFmtId="0" fontId="44" fillId="9" borderId="22" xfId="0" quotePrefix="1" applyFont="1" applyFill="1" applyBorder="1" applyAlignment="1">
      <alignment horizontal="center"/>
    </xf>
    <xf numFmtId="0" fontId="44" fillId="9" borderId="36" xfId="0" quotePrefix="1" applyFont="1" applyFill="1" applyBorder="1" applyAlignment="1">
      <alignment horizontal="center"/>
    </xf>
    <xf numFmtId="0" fontId="45" fillId="5" borderId="25" xfId="0" applyFont="1" applyFill="1" applyBorder="1" applyAlignment="1">
      <alignment horizontal="center"/>
    </xf>
    <xf numFmtId="0" fontId="45" fillId="5" borderId="2" xfId="0" applyFont="1" applyFill="1" applyBorder="1" applyAlignment="1">
      <alignment horizontal="center"/>
    </xf>
    <xf numFmtId="0" fontId="45" fillId="5" borderId="26" xfId="0" applyFont="1" applyFill="1" applyBorder="1" applyAlignment="1">
      <alignment horizontal="center"/>
    </xf>
    <xf numFmtId="0" fontId="44" fillId="9" borderId="28" xfId="0" applyFont="1" applyFill="1" applyBorder="1" applyAlignment="1">
      <alignment horizontal="center" vertical="center" wrapText="1"/>
    </xf>
    <xf numFmtId="0" fontId="44" fillId="9" borderId="46" xfId="0" applyFont="1" applyFill="1" applyBorder="1" applyAlignment="1">
      <alignment horizontal="center" vertical="center" wrapText="1"/>
    </xf>
    <xf numFmtId="0" fontId="44" fillId="9" borderId="17" xfId="0" applyFont="1" applyFill="1" applyBorder="1" applyAlignment="1">
      <alignment horizontal="center" vertical="center" wrapText="1"/>
    </xf>
    <xf numFmtId="0" fontId="44" fillId="9" borderId="56" xfId="0" applyFont="1" applyFill="1" applyBorder="1" applyAlignment="1">
      <alignment horizontal="center" vertical="center" wrapText="1"/>
    </xf>
    <xf numFmtId="0" fontId="44" fillId="9" borderId="53" xfId="0" applyFont="1" applyFill="1" applyBorder="1" applyAlignment="1">
      <alignment horizontal="center"/>
    </xf>
    <xf numFmtId="0" fontId="44" fillId="9" borderId="55" xfId="0" applyFont="1" applyFill="1" applyBorder="1" applyAlignment="1">
      <alignment horizontal="center"/>
    </xf>
    <xf numFmtId="0" fontId="44" fillId="9" borderId="54" xfId="0" applyFont="1" applyFill="1" applyBorder="1" applyAlignment="1">
      <alignment horizontal="center"/>
    </xf>
    <xf numFmtId="0" fontId="44" fillId="10" borderId="10" xfId="0" applyFont="1" applyFill="1" applyBorder="1" applyAlignment="1">
      <alignment horizontal="center" vertical="center" wrapText="1"/>
    </xf>
    <xf numFmtId="0" fontId="44" fillId="10" borderId="51" xfId="0" applyFont="1" applyFill="1" applyBorder="1" applyAlignment="1">
      <alignment horizontal="center" vertical="center" wrapText="1"/>
    </xf>
    <xf numFmtId="0" fontId="44" fillId="10" borderId="52" xfId="0" applyFont="1" applyFill="1" applyBorder="1" applyAlignment="1">
      <alignment horizontal="center" vertical="center" wrapText="1"/>
    </xf>
    <xf numFmtId="0" fontId="44" fillId="9" borderId="11" xfId="0" quotePrefix="1" applyFont="1" applyFill="1" applyBorder="1" applyAlignment="1">
      <alignment horizontal="center" vertical="center" wrapText="1"/>
    </xf>
    <xf numFmtId="0" fontId="44" fillId="9" borderId="20" xfId="0" quotePrefix="1" applyFont="1" applyFill="1" applyBorder="1" applyAlignment="1">
      <alignment horizontal="center" vertical="center" wrapText="1"/>
    </xf>
    <xf numFmtId="0" fontId="44" fillId="9" borderId="11" xfId="0" applyFont="1" applyFill="1" applyBorder="1" applyAlignment="1">
      <alignment horizontal="center"/>
    </xf>
    <xf numFmtId="0" fontId="44" fillId="9" borderId="20" xfId="0" applyFont="1" applyFill="1" applyBorder="1" applyAlignment="1">
      <alignment horizontal="center"/>
    </xf>
    <xf numFmtId="0" fontId="44" fillId="9" borderId="56" xfId="0" applyFont="1" applyFill="1" applyBorder="1" applyAlignment="1">
      <alignment horizontal="center"/>
    </xf>
    <xf numFmtId="0" fontId="16" fillId="9" borderId="35" xfId="0" quotePrefix="1" applyFont="1" applyFill="1" applyBorder="1" applyAlignment="1">
      <alignment horizontal="center"/>
    </xf>
    <xf numFmtId="0" fontId="16" fillId="9" borderId="22" xfId="0" quotePrefix="1" applyFont="1" applyFill="1" applyBorder="1" applyAlignment="1">
      <alignment horizontal="center"/>
    </xf>
    <xf numFmtId="0" fontId="16" fillId="9" borderId="36" xfId="0" quotePrefix="1" applyFont="1" applyFill="1" applyBorder="1" applyAlignment="1">
      <alignment horizontal="center"/>
    </xf>
    <xf numFmtId="0" fontId="16" fillId="9" borderId="28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 wrapText="1"/>
    </xf>
    <xf numFmtId="0" fontId="16" fillId="9" borderId="31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/>
    </xf>
    <xf numFmtId="0" fontId="16" fillId="10" borderId="51" xfId="0" applyFont="1" applyFill="1" applyBorder="1" applyAlignment="1">
      <alignment horizontal="center" vertical="center"/>
    </xf>
    <xf numFmtId="0" fontId="16" fillId="10" borderId="52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horizontal="center" vertical="center" wrapText="1"/>
    </xf>
    <xf numFmtId="0" fontId="16" fillId="9" borderId="11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6" fillId="9" borderId="56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16" fillId="10" borderId="51" xfId="0" applyFont="1" applyFill="1" applyBorder="1" applyAlignment="1">
      <alignment horizontal="center" vertical="center" wrapText="1"/>
    </xf>
    <xf numFmtId="0" fontId="16" fillId="10" borderId="52" xfId="0" applyFont="1" applyFill="1" applyBorder="1" applyAlignment="1">
      <alignment horizontal="center" vertical="center" wrapText="1"/>
    </xf>
    <xf numFmtId="0" fontId="16" fillId="9" borderId="11" xfId="0" quotePrefix="1" applyFont="1" applyFill="1" applyBorder="1" applyAlignment="1">
      <alignment horizontal="center" vertical="center" wrapText="1"/>
    </xf>
    <xf numFmtId="0" fontId="16" fillId="9" borderId="20" xfId="0" quotePrefix="1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/>
    </xf>
    <xf numFmtId="0" fontId="16" fillId="9" borderId="55" xfId="0" applyFont="1" applyFill="1" applyBorder="1" applyAlignment="1">
      <alignment horizontal="center"/>
    </xf>
    <xf numFmtId="0" fontId="16" fillId="9" borderId="54" xfId="0" applyFont="1" applyFill="1" applyBorder="1" applyAlignment="1">
      <alignment horizontal="center"/>
    </xf>
    <xf numFmtId="0" fontId="49" fillId="20" borderId="11" xfId="0" applyFont="1" applyFill="1" applyBorder="1" applyAlignment="1">
      <alignment horizontal="center"/>
    </xf>
    <xf numFmtId="0" fontId="49" fillId="20" borderId="3" xfId="0" applyFont="1" applyFill="1" applyBorder="1" applyAlignment="1">
      <alignment horizontal="center"/>
    </xf>
    <xf numFmtId="0" fontId="49" fillId="20" borderId="20" xfId="0" applyFont="1" applyFill="1" applyBorder="1" applyAlignment="1">
      <alignment horizontal="center"/>
    </xf>
    <xf numFmtId="0" fontId="14" fillId="9" borderId="35" xfId="27" applyFont="1" applyFill="1" applyBorder="1" applyAlignment="1">
      <alignment horizontal="center" vertical="top"/>
    </xf>
    <xf numFmtId="0" fontId="14" fillId="9" borderId="22" xfId="27" applyFont="1" applyFill="1" applyBorder="1" applyAlignment="1">
      <alignment horizontal="center" vertical="top"/>
    </xf>
    <xf numFmtId="0" fontId="14" fillId="9" borderId="36" xfId="27" applyFont="1" applyFill="1" applyBorder="1" applyAlignment="1">
      <alignment horizontal="center" vertical="top"/>
    </xf>
    <xf numFmtId="0" fontId="15" fillId="5" borderId="48" xfId="0" applyFont="1" applyFill="1" applyBorder="1" applyAlignment="1">
      <alignment horizontal="right"/>
    </xf>
    <xf numFmtId="0" fontId="15" fillId="5" borderId="5" xfId="0" applyFont="1" applyFill="1" applyBorder="1" applyAlignment="1">
      <alignment horizontal="right"/>
    </xf>
    <xf numFmtId="0" fontId="15" fillId="5" borderId="49" xfId="0" applyFont="1" applyFill="1" applyBorder="1" applyAlignment="1">
      <alignment horizontal="right"/>
    </xf>
    <xf numFmtId="0" fontId="14" fillId="9" borderId="8" xfId="27" applyFont="1" applyFill="1" applyBorder="1" applyAlignment="1">
      <alignment horizontal="center" vertical="center" wrapText="1"/>
    </xf>
    <xf numFmtId="0" fontId="16" fillId="9" borderId="35" xfId="14" applyFont="1" applyFill="1" applyBorder="1" applyAlignment="1">
      <alignment horizontal="center"/>
    </xf>
    <xf numFmtId="0" fontId="16" fillId="9" borderId="22" xfId="14" applyFont="1" applyFill="1" applyBorder="1" applyAlignment="1">
      <alignment horizontal="center"/>
    </xf>
    <xf numFmtId="0" fontId="16" fillId="9" borderId="36" xfId="14" applyFont="1" applyFill="1" applyBorder="1" applyAlignment="1">
      <alignment horizontal="center"/>
    </xf>
    <xf numFmtId="0" fontId="16" fillId="9" borderId="17" xfId="12" applyFont="1" applyFill="1" applyBorder="1" applyAlignment="1">
      <alignment horizontal="center" vertical="center" wrapText="1"/>
    </xf>
    <xf numFmtId="0" fontId="16" fillId="9" borderId="8" xfId="12" applyFont="1" applyFill="1" applyBorder="1" applyAlignment="1">
      <alignment horizontal="center" vertical="center" wrapText="1"/>
    </xf>
    <xf numFmtId="0" fontId="16" fillId="9" borderId="18" xfId="12" applyFont="1" applyFill="1" applyBorder="1" applyAlignment="1">
      <alignment horizontal="center" vertical="center" wrapText="1"/>
    </xf>
    <xf numFmtId="0" fontId="16" fillId="9" borderId="4" xfId="12" applyFont="1" applyFill="1" applyBorder="1" applyAlignment="1">
      <alignment horizontal="center" vertical="center" wrapText="1"/>
    </xf>
    <xf numFmtId="0" fontId="16" fillId="10" borderId="35" xfId="14" applyFont="1" applyFill="1" applyBorder="1" applyAlignment="1">
      <alignment horizontal="center" wrapText="1"/>
    </xf>
    <xf numFmtId="0" fontId="16" fillId="10" borderId="22" xfId="14" applyFont="1" applyFill="1" applyBorder="1" applyAlignment="1">
      <alignment horizontal="center" wrapText="1"/>
    </xf>
    <xf numFmtId="0" fontId="16" fillId="10" borderId="36" xfId="14" applyFont="1" applyFill="1" applyBorder="1" applyAlignment="1">
      <alignment horizontal="center" wrapText="1"/>
    </xf>
    <xf numFmtId="0" fontId="30" fillId="0" borderId="25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5" borderId="33" xfId="0" applyFont="1" applyFill="1" applyBorder="1" applyAlignment="1">
      <alignment horizontal="right"/>
    </xf>
    <xf numFmtId="0" fontId="30" fillId="5" borderId="0" xfId="0" applyFont="1" applyFill="1" applyAlignment="1">
      <alignment horizontal="right"/>
    </xf>
    <xf numFmtId="0" fontId="30" fillId="5" borderId="34" xfId="0" applyFont="1" applyFill="1" applyBorder="1" applyAlignment="1">
      <alignment horizontal="right"/>
    </xf>
    <xf numFmtId="0" fontId="37" fillId="9" borderId="8" xfId="28" applyFont="1" applyFill="1" applyBorder="1" applyAlignment="1">
      <alignment horizontal="center" vertical="center" wrapText="1"/>
    </xf>
    <xf numFmtId="0" fontId="37" fillId="9" borderId="4" xfId="28" applyFont="1" applyFill="1" applyBorder="1" applyAlignment="1">
      <alignment horizontal="center" vertical="center"/>
    </xf>
    <xf numFmtId="0" fontId="16" fillId="9" borderId="25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0" fontId="16" fillId="9" borderId="26" xfId="0" applyFont="1" applyFill="1" applyBorder="1" applyAlignment="1">
      <alignment horizontal="center"/>
    </xf>
    <xf numFmtId="0" fontId="16" fillId="9" borderId="28" xfId="0" applyFont="1" applyFill="1" applyBorder="1" applyAlignment="1">
      <alignment horizontal="center" vertical="center" textRotation="90" wrapText="1"/>
    </xf>
    <xf numFmtId="0" fontId="16" fillId="9" borderId="17" xfId="0" applyFont="1" applyFill="1" applyBorder="1" applyAlignment="1">
      <alignment horizontal="center" vertical="center" textRotation="90" wrapText="1"/>
    </xf>
    <xf numFmtId="0" fontId="16" fillId="9" borderId="10" xfId="0" applyFont="1" applyFill="1" applyBorder="1" applyAlignment="1">
      <alignment horizontal="center" vertical="center" wrapText="1"/>
    </xf>
    <xf numFmtId="0" fontId="16" fillId="9" borderId="51" xfId="0" applyFont="1" applyFill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16" fillId="9" borderId="45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 wrapText="1"/>
    </xf>
    <xf numFmtId="0" fontId="14" fillId="9" borderId="22" xfId="0" applyFont="1" applyFill="1" applyBorder="1" applyAlignment="1">
      <alignment horizontal="center" wrapText="1"/>
    </xf>
    <xf numFmtId="0" fontId="14" fillId="9" borderId="36" xfId="0" applyFont="1" applyFill="1" applyBorder="1" applyAlignment="1">
      <alignment horizontal="center" wrapText="1"/>
    </xf>
    <xf numFmtId="0" fontId="30" fillId="5" borderId="35" xfId="0" applyFont="1" applyFill="1" applyBorder="1" applyAlignment="1">
      <alignment horizontal="right"/>
    </xf>
    <xf numFmtId="0" fontId="30" fillId="5" borderId="22" xfId="0" applyFont="1" applyFill="1" applyBorder="1" applyAlignment="1">
      <alignment horizontal="right"/>
    </xf>
    <xf numFmtId="0" fontId="30" fillId="5" borderId="36" xfId="0" applyFont="1" applyFill="1" applyBorder="1" applyAlignment="1">
      <alignment horizontal="right"/>
    </xf>
    <xf numFmtId="0" fontId="30" fillId="5" borderId="33" xfId="0" applyFont="1" applyFill="1" applyBorder="1" applyAlignment="1">
      <alignment horizontal="center"/>
    </xf>
    <xf numFmtId="0" fontId="30" fillId="5" borderId="0" xfId="0" applyFont="1" applyFill="1" applyAlignment="1">
      <alignment horizontal="center"/>
    </xf>
    <xf numFmtId="0" fontId="30" fillId="5" borderId="34" xfId="0" applyFont="1" applyFill="1" applyBorder="1" applyAlignment="1">
      <alignment horizontal="center"/>
    </xf>
    <xf numFmtId="0" fontId="24" fillId="9" borderId="28" xfId="27" applyFont="1" applyFill="1" applyBorder="1" applyAlignment="1">
      <alignment horizontal="center" vertical="center" wrapText="1"/>
    </xf>
    <xf numFmtId="0" fontId="24" fillId="9" borderId="17" xfId="27" applyFont="1" applyFill="1" applyBorder="1" applyAlignment="1">
      <alignment horizontal="center" vertical="center" wrapText="1"/>
    </xf>
    <xf numFmtId="0" fontId="24" fillId="9" borderId="31" xfId="27" applyFont="1" applyFill="1" applyBorder="1" applyAlignment="1">
      <alignment horizontal="center" vertical="center" wrapText="1"/>
    </xf>
    <xf numFmtId="0" fontId="24" fillId="9" borderId="18" xfId="27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/>
    </xf>
    <xf numFmtId="0" fontId="14" fillId="9" borderId="22" xfId="0" applyFont="1" applyFill="1" applyBorder="1" applyAlignment="1">
      <alignment horizontal="center"/>
    </xf>
    <xf numFmtId="0" fontId="14" fillId="9" borderId="36" xfId="0" applyFont="1" applyFill="1" applyBorder="1" applyAlignment="1">
      <alignment horizontal="center"/>
    </xf>
    <xf numFmtId="0" fontId="14" fillId="12" borderId="25" xfId="12" applyFont="1" applyFill="1" applyBorder="1" applyAlignment="1">
      <alignment horizontal="center" vertical="top"/>
    </xf>
    <xf numFmtId="0" fontId="14" fillId="12" borderId="2" xfId="12" applyFont="1" applyFill="1" applyBorder="1" applyAlignment="1">
      <alignment horizontal="center" vertical="top"/>
    </xf>
    <xf numFmtId="0" fontId="14" fillId="12" borderId="26" xfId="12" applyFont="1" applyFill="1" applyBorder="1" applyAlignment="1">
      <alignment horizontal="center" vertical="top"/>
    </xf>
    <xf numFmtId="0" fontId="15" fillId="5" borderId="50" xfId="0" applyFont="1" applyFill="1" applyBorder="1" applyAlignment="1">
      <alignment horizontal="center"/>
    </xf>
    <xf numFmtId="0" fontId="15" fillId="5" borderId="51" xfId="0" applyFont="1" applyFill="1" applyBorder="1" applyAlignment="1">
      <alignment horizontal="center"/>
    </xf>
    <xf numFmtId="0" fontId="24" fillId="5" borderId="25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24" fillId="5" borderId="26" xfId="0" applyFont="1" applyFill="1" applyBorder="1" applyAlignment="1">
      <alignment horizontal="center"/>
    </xf>
    <xf numFmtId="0" fontId="24" fillId="5" borderId="33" xfId="0" applyFont="1" applyFill="1" applyBorder="1" applyAlignment="1">
      <alignment horizontal="center"/>
    </xf>
    <xf numFmtId="0" fontId="24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6" fillId="8" borderId="35" xfId="0" applyFont="1" applyFill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0" fontId="14" fillId="13" borderId="35" xfId="0" applyFont="1" applyFill="1" applyBorder="1" applyAlignment="1">
      <alignment horizontal="center"/>
    </xf>
    <xf numFmtId="0" fontId="14" fillId="13" borderId="22" xfId="0" applyFont="1" applyFill="1" applyBorder="1" applyAlignment="1">
      <alignment horizontal="center"/>
    </xf>
    <xf numFmtId="0" fontId="14" fillId="13" borderId="36" xfId="0" applyFont="1" applyFill="1" applyBorder="1" applyAlignment="1">
      <alignment horizontal="center"/>
    </xf>
    <xf numFmtId="0" fontId="24" fillId="12" borderId="16" xfId="0" applyFont="1" applyFill="1" applyBorder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0" fontId="24" fillId="12" borderId="9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0" fontId="24" fillId="12" borderId="6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/>
    </xf>
    <xf numFmtId="0" fontId="14" fillId="9" borderId="12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164" fontId="52" fillId="0" borderId="0" xfId="30" applyNumberFormat="1" applyFont="1" applyFill="1" applyBorder="1" applyAlignment="1">
      <alignment horizontal="center"/>
    </xf>
    <xf numFmtId="164" fontId="41" fillId="0" borderId="0" xfId="30" applyNumberFormat="1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5" xfId="0" applyFont="1" applyBorder="1" applyAlignment="1">
      <alignment horizontal="center"/>
    </xf>
  </cellXfs>
  <cellStyles count="49">
    <cellStyle name="Body" xfId="2" xr:uid="{00000000-0005-0000-0000-000000000000}"/>
    <cellStyle name="Comma" xfId="29" builtinId="3"/>
    <cellStyle name="Comma  - Style1" xfId="3" xr:uid="{00000000-0005-0000-0000-000002000000}"/>
    <cellStyle name="Comma 2" xfId="4" xr:uid="{00000000-0005-0000-0000-000003000000}"/>
    <cellStyle name="Comma 2 2" xfId="30" xr:uid="{00000000-0005-0000-0000-000004000000}"/>
    <cellStyle name="Comma 2 3" xfId="38" xr:uid="{00000000-0005-0000-0000-000005000000}"/>
    <cellStyle name="Comma 2 4" xfId="47" xr:uid="{00000000-0005-0000-0000-000006000000}"/>
    <cellStyle name="Comma 3" xfId="31" xr:uid="{00000000-0005-0000-0000-000007000000}"/>
    <cellStyle name="Comma 3 2" xfId="46" xr:uid="{00000000-0005-0000-0000-000008000000}"/>
    <cellStyle name="Comma 4" xfId="45" xr:uid="{00000000-0005-0000-0000-000009000000}"/>
    <cellStyle name="Comma 5" xfId="32" xr:uid="{00000000-0005-0000-0000-00000A000000}"/>
    <cellStyle name="Curren - Style2" xfId="5" xr:uid="{00000000-0005-0000-0000-00000B000000}"/>
    <cellStyle name="Grey" xfId="6" xr:uid="{00000000-0005-0000-0000-00000C000000}"/>
    <cellStyle name="Header1" xfId="7" xr:uid="{00000000-0005-0000-0000-00000D000000}"/>
    <cellStyle name="Header2" xfId="8" xr:uid="{00000000-0005-0000-0000-00000E000000}"/>
    <cellStyle name="Input [yellow]" xfId="9" xr:uid="{00000000-0005-0000-0000-00000F000000}"/>
    <cellStyle name="no dec" xfId="10" xr:uid="{00000000-0005-0000-0000-000010000000}"/>
    <cellStyle name="Normal" xfId="0" builtinId="0"/>
    <cellStyle name="Normal - Style1" xfId="11" xr:uid="{00000000-0005-0000-0000-000012000000}"/>
    <cellStyle name="Normal 10" xfId="48" xr:uid="{DDE364B4-F19B-42B1-9AA7-02C4F918716C}"/>
    <cellStyle name="Normal 2" xfId="1" xr:uid="{00000000-0005-0000-0000-000013000000}"/>
    <cellStyle name="Normal 2 2" xfId="12" xr:uid="{00000000-0005-0000-0000-000014000000}"/>
    <cellStyle name="Normal 2 2 2" xfId="13" xr:uid="{00000000-0005-0000-0000-000015000000}"/>
    <cellStyle name="Normal 2 3" xfId="26" xr:uid="{00000000-0005-0000-0000-000016000000}"/>
    <cellStyle name="Normal 3" xfId="14" xr:uid="{00000000-0005-0000-0000-000017000000}"/>
    <cellStyle name="Normal 3 2" xfId="15" xr:uid="{00000000-0005-0000-0000-000018000000}"/>
    <cellStyle name="Normal 3 2 2" xfId="40" xr:uid="{00000000-0005-0000-0000-000019000000}"/>
    <cellStyle name="Normal 3 3" xfId="39" xr:uid="{00000000-0005-0000-0000-00001A000000}"/>
    <cellStyle name="Normal 4" xfId="16" xr:uid="{00000000-0005-0000-0000-00001B000000}"/>
    <cellStyle name="Normal 4 2" xfId="41" xr:uid="{00000000-0005-0000-0000-00001C000000}"/>
    <cellStyle name="Normal 5" xfId="17" xr:uid="{00000000-0005-0000-0000-00001D000000}"/>
    <cellStyle name="Normal 5 2" xfId="42" xr:uid="{00000000-0005-0000-0000-00001E000000}"/>
    <cellStyle name="Normal 6" xfId="18" xr:uid="{00000000-0005-0000-0000-00001F000000}"/>
    <cellStyle name="Normal 6 2" xfId="43" xr:uid="{00000000-0005-0000-0000-000020000000}"/>
    <cellStyle name="Normal 7" xfId="19" xr:uid="{00000000-0005-0000-0000-000021000000}"/>
    <cellStyle name="Normal 7 2" xfId="44" xr:uid="{00000000-0005-0000-0000-000022000000}"/>
    <cellStyle name="Normal 8" xfId="20" xr:uid="{00000000-0005-0000-0000-000023000000}"/>
    <cellStyle name="Normal 9" xfId="25" xr:uid="{00000000-0005-0000-0000-000024000000}"/>
    <cellStyle name="Normal 9 2" xfId="34" xr:uid="{00000000-0005-0000-0000-000025000000}"/>
    <cellStyle name="Normal_ARR &amp; ERC FORMS (10052007) - MYT 2007-2010- revised 8 ( with new tariff)" xfId="35" xr:uid="{00000000-0005-0000-0000-000026000000}"/>
    <cellStyle name="Normal_FORMATS 5 YEAR ALOKE" xfId="21" xr:uid="{00000000-0005-0000-0000-000027000000}"/>
    <cellStyle name="Normal_FORMATS 5 YEAR ALOKE 2" xfId="28" xr:uid="{00000000-0005-0000-0000-000028000000}"/>
    <cellStyle name="Normal_Forms" xfId="27" xr:uid="{00000000-0005-0000-0000-000029000000}"/>
    <cellStyle name="Normal_Tariff Commision Report - 05-05-05" xfId="37" xr:uid="{00000000-0005-0000-0000-00002A000000}"/>
    <cellStyle name="Normal_Tariff Commission Report-2005-06- Audited" xfId="36" xr:uid="{00000000-0005-0000-0000-00002B000000}"/>
    <cellStyle name="Percent" xfId="33" builtinId="5"/>
    <cellStyle name="Percent [0]_#6 Temps &amp; Contractors" xfId="22" xr:uid="{00000000-0005-0000-0000-00002D000000}"/>
    <cellStyle name="Percent [2]" xfId="23" xr:uid="{00000000-0005-0000-0000-00002E000000}"/>
    <cellStyle name="Style 1" xfId="24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ffice\Power%20accounts\Draft\Accounts%2019-20_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ffice\Power%20accounts\Draft\Accounts%2019-20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sheet P&amp;L"/>
      <sheetName val="Schedules"/>
      <sheetName val="FA"/>
      <sheetName val="Cash Flow "/>
    </sheetNames>
    <sheetDataSet>
      <sheetData sheetId="0" refreshError="1"/>
      <sheetData sheetId="1" refreshError="1"/>
      <sheetData sheetId="2" refreshError="1">
        <row r="10">
          <cell r="C10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1">
          <cell r="M21">
            <v>0</v>
          </cell>
        </row>
        <row r="35">
          <cell r="M35">
            <v>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C00000"/>
    <pageSetUpPr fitToPage="1"/>
  </sheetPr>
  <dimension ref="B1:M24"/>
  <sheetViews>
    <sheetView tabSelected="1" view="pageBreakPreview" topLeftCell="A18" zoomScale="85" zoomScaleNormal="85" zoomScaleSheetLayoutView="85" workbookViewId="0">
      <selection activeCell="H1" sqref="H1:P1048576"/>
    </sheetView>
  </sheetViews>
  <sheetFormatPr defaultColWidth="9.109375" defaultRowHeight="13.8" x14ac:dyDescent="0.25"/>
  <cols>
    <col min="1" max="1" width="9.109375" style="1"/>
    <col min="2" max="2" width="9.21875" style="1" bestFit="1" customWidth="1"/>
    <col min="3" max="3" width="56.109375" style="1" bestFit="1" customWidth="1"/>
    <col min="4" max="4" width="5.21875" style="1" bestFit="1" customWidth="1"/>
    <col min="5" max="5" width="10.33203125" style="1" bestFit="1" customWidth="1"/>
    <col min="6" max="6" width="11.6640625" style="1" customWidth="1"/>
    <col min="7" max="7" width="11.109375" style="1" bestFit="1" customWidth="1"/>
    <col min="8" max="8" width="9.109375" style="1"/>
    <col min="9" max="9" width="23.77734375" style="1" bestFit="1" customWidth="1"/>
    <col min="10" max="10" width="27.21875" style="1" customWidth="1"/>
    <col min="11" max="12" width="9.109375" style="1"/>
    <col min="13" max="13" width="12.6640625" style="1" customWidth="1"/>
    <col min="14" max="16384" width="9.109375" style="1"/>
  </cols>
  <sheetData>
    <row r="1" spans="2:10" ht="14.4" thickBot="1" x14ac:dyDescent="0.3"/>
    <row r="2" spans="2:10" ht="16.2" thickBot="1" x14ac:dyDescent="0.35">
      <c r="B2" s="932" t="s">
        <v>552</v>
      </c>
      <c r="C2" s="933"/>
      <c r="D2" s="933"/>
      <c r="E2" s="933"/>
      <c r="F2" s="933"/>
      <c r="G2" s="934"/>
    </row>
    <row r="3" spans="2:10" ht="16.2" thickBot="1" x14ac:dyDescent="0.35">
      <c r="B3" s="935" t="s">
        <v>269</v>
      </c>
      <c r="C3" s="936"/>
      <c r="D3" s="936"/>
      <c r="E3" s="936"/>
      <c r="F3" s="936"/>
      <c r="G3" s="937"/>
    </row>
    <row r="4" spans="2:10" ht="16.2" thickBot="1" x14ac:dyDescent="0.35">
      <c r="B4" s="938" t="s">
        <v>455</v>
      </c>
      <c r="C4" s="939"/>
      <c r="D4" s="939"/>
      <c r="E4" s="939"/>
      <c r="F4" s="939"/>
      <c r="G4" s="940"/>
    </row>
    <row r="5" spans="2:10" ht="15.6" x14ac:dyDescent="0.25">
      <c r="B5" s="941" t="s">
        <v>0</v>
      </c>
      <c r="C5" s="943" t="s">
        <v>1</v>
      </c>
      <c r="D5" s="945" t="s">
        <v>87</v>
      </c>
      <c r="E5" s="2" t="s">
        <v>551</v>
      </c>
      <c r="F5" s="2" t="s">
        <v>551</v>
      </c>
      <c r="G5" s="822" t="s">
        <v>517</v>
      </c>
    </row>
    <row r="6" spans="2:10" ht="31.2" x14ac:dyDescent="0.25">
      <c r="B6" s="942"/>
      <c r="C6" s="944"/>
      <c r="D6" s="944"/>
      <c r="E6" s="3" t="s">
        <v>3</v>
      </c>
      <c r="F6" s="4" t="s">
        <v>437</v>
      </c>
      <c r="G6" s="5" t="s">
        <v>3</v>
      </c>
    </row>
    <row r="7" spans="2:10" ht="16.2" thickBot="1" x14ac:dyDescent="0.3">
      <c r="B7" s="6">
        <v>1</v>
      </c>
      <c r="C7" s="7">
        <v>2</v>
      </c>
      <c r="D7" s="7">
        <v>3</v>
      </c>
      <c r="E7" s="8">
        <v>4</v>
      </c>
      <c r="F7" s="7">
        <v>5</v>
      </c>
      <c r="G7" s="9">
        <v>6</v>
      </c>
    </row>
    <row r="8" spans="2:10" ht="15.6" x14ac:dyDescent="0.25">
      <c r="B8" s="10">
        <v>1</v>
      </c>
      <c r="C8" s="11" t="s">
        <v>4</v>
      </c>
      <c r="D8" s="12">
        <v>3.1</v>
      </c>
      <c r="E8" s="788">
        <v>5549.1307706499992</v>
      </c>
      <c r="F8" s="13">
        <v>5919.11</v>
      </c>
      <c r="G8" s="14">
        <v>4652.8836113999996</v>
      </c>
      <c r="H8" s="552"/>
      <c r="I8" s="552"/>
    </row>
    <row r="9" spans="2:10" ht="15.6" x14ac:dyDescent="0.25">
      <c r="B9" s="15">
        <v>2</v>
      </c>
      <c r="C9" s="16" t="s">
        <v>5</v>
      </c>
      <c r="D9" s="17">
        <v>3.4</v>
      </c>
      <c r="E9" s="18">
        <v>659.00321228119992</v>
      </c>
      <c r="F9" s="18">
        <v>397.55</v>
      </c>
      <c r="G9" s="823">
        <v>594.23699164707091</v>
      </c>
      <c r="H9" s="552"/>
      <c r="I9" s="552"/>
      <c r="J9" s="552"/>
    </row>
    <row r="10" spans="2:10" ht="15.6" x14ac:dyDescent="0.3">
      <c r="B10" s="19">
        <v>2.1</v>
      </c>
      <c r="C10" s="20" t="s">
        <v>6</v>
      </c>
      <c r="D10" s="21">
        <v>3.4</v>
      </c>
      <c r="E10" s="22">
        <v>60.021797499999998</v>
      </c>
      <c r="F10" s="23"/>
      <c r="G10" s="24">
        <v>54.535589999999999</v>
      </c>
      <c r="I10" s="25"/>
      <c r="J10" s="552"/>
    </row>
    <row r="11" spans="2:10" ht="15.6" x14ac:dyDescent="0.3">
      <c r="B11" s="19">
        <v>2.2999999999999998</v>
      </c>
      <c r="C11" s="20" t="s">
        <v>7</v>
      </c>
      <c r="D11" s="21">
        <v>3.4</v>
      </c>
      <c r="E11" s="22">
        <v>95.356454781199986</v>
      </c>
      <c r="F11" s="26"/>
      <c r="G11" s="24">
        <v>92.051371647070965</v>
      </c>
      <c r="I11" s="25"/>
      <c r="J11" s="552"/>
    </row>
    <row r="12" spans="2:10" ht="15.6" x14ac:dyDescent="0.3">
      <c r="B12" s="19">
        <v>2.4</v>
      </c>
      <c r="C12" s="20" t="s">
        <v>8</v>
      </c>
      <c r="D12" s="21">
        <v>3.4</v>
      </c>
      <c r="E12" s="22">
        <v>503.62495999999999</v>
      </c>
      <c r="F12" s="23"/>
      <c r="G12" s="24">
        <v>447.65003000000002</v>
      </c>
      <c r="I12" s="25"/>
    </row>
    <row r="13" spans="2:10" ht="15.6" x14ac:dyDescent="0.3">
      <c r="B13" s="15">
        <v>3</v>
      </c>
      <c r="C13" s="27" t="s">
        <v>9</v>
      </c>
      <c r="D13" s="17">
        <v>3.5</v>
      </c>
      <c r="E13" s="18">
        <v>82.382366505915343</v>
      </c>
      <c r="F13" s="28">
        <v>142.6</v>
      </c>
      <c r="G13" s="29">
        <v>162.45289639504</v>
      </c>
    </row>
    <row r="14" spans="2:10" ht="15.6" x14ac:dyDescent="0.3">
      <c r="B14" s="15">
        <v>4</v>
      </c>
      <c r="C14" s="30" t="s">
        <v>10</v>
      </c>
      <c r="D14" s="17">
        <v>3.6</v>
      </c>
      <c r="E14" s="18">
        <v>0</v>
      </c>
      <c r="F14" s="31">
        <v>7.87</v>
      </c>
      <c r="G14" s="29">
        <v>8.9645888849847868</v>
      </c>
    </row>
    <row r="15" spans="2:10" ht="15.6" x14ac:dyDescent="0.25">
      <c r="B15" s="15">
        <v>5</v>
      </c>
      <c r="C15" s="32" t="s">
        <v>11</v>
      </c>
      <c r="D15" s="17">
        <v>3.7</v>
      </c>
      <c r="E15" s="18">
        <v>0</v>
      </c>
      <c r="F15" s="33">
        <v>0</v>
      </c>
      <c r="G15" s="34">
        <v>0</v>
      </c>
    </row>
    <row r="16" spans="2:10" ht="16.2" thickBot="1" x14ac:dyDescent="0.3">
      <c r="B16" s="35">
        <v>6</v>
      </c>
      <c r="C16" s="36" t="s">
        <v>298</v>
      </c>
      <c r="D16" s="37"/>
      <c r="E16" s="38">
        <v>123.65205</v>
      </c>
      <c r="F16" s="39">
        <v>76.11</v>
      </c>
      <c r="G16" s="40">
        <v>72.701030000000003</v>
      </c>
    </row>
    <row r="17" spans="2:13" ht="16.2" thickBot="1" x14ac:dyDescent="0.3">
      <c r="B17" s="41">
        <v>7</v>
      </c>
      <c r="C17" s="42" t="s">
        <v>12</v>
      </c>
      <c r="D17" s="43"/>
      <c r="E17" s="44">
        <v>6414.1683994371142</v>
      </c>
      <c r="F17" s="44">
        <v>6543.24</v>
      </c>
      <c r="G17" s="45">
        <v>5491.2391183270947</v>
      </c>
    </row>
    <row r="18" spans="2:13" ht="15.6" x14ac:dyDescent="0.25">
      <c r="B18" s="46">
        <v>8</v>
      </c>
      <c r="C18" s="47" t="s">
        <v>13</v>
      </c>
      <c r="D18" s="48">
        <v>3.8</v>
      </c>
      <c r="E18" s="49">
        <v>90.041986008796712</v>
      </c>
      <c r="F18" s="50">
        <v>21.07</v>
      </c>
      <c r="G18" s="51">
        <v>86.5955655464724</v>
      </c>
    </row>
    <row r="19" spans="2:13" ht="16.2" thickBot="1" x14ac:dyDescent="0.3">
      <c r="B19" s="35">
        <v>9</v>
      </c>
      <c r="C19" s="36" t="s">
        <v>14</v>
      </c>
      <c r="D19" s="52">
        <v>0</v>
      </c>
      <c r="E19" s="38">
        <v>0</v>
      </c>
      <c r="F19" s="53">
        <v>0</v>
      </c>
      <c r="G19" s="54">
        <v>0</v>
      </c>
    </row>
    <row r="20" spans="2:13" ht="16.2" thickBot="1" x14ac:dyDescent="0.3">
      <c r="B20" s="41">
        <v>10</v>
      </c>
      <c r="C20" s="42" t="s">
        <v>15</v>
      </c>
      <c r="D20" s="55"/>
      <c r="E20" s="56">
        <v>6504.210385445911</v>
      </c>
      <c r="F20" s="56">
        <v>6564.3099999999995</v>
      </c>
      <c r="G20" s="57">
        <v>5577.834683873567</v>
      </c>
    </row>
    <row r="21" spans="2:13" ht="16.2" thickBot="1" x14ac:dyDescent="0.3">
      <c r="B21" s="58">
        <v>11</v>
      </c>
      <c r="C21" s="59" t="s">
        <v>16</v>
      </c>
      <c r="D21" s="60">
        <v>2.4</v>
      </c>
      <c r="E21" s="61">
        <v>148.42908954110791</v>
      </c>
      <c r="F21" s="61">
        <v>157.31</v>
      </c>
      <c r="G21" s="62">
        <v>78.086316686417945</v>
      </c>
      <c r="M21" s="25"/>
    </row>
    <row r="22" spans="2:13" ht="16.2" thickBot="1" x14ac:dyDescent="0.3">
      <c r="B22" s="41">
        <v>12</v>
      </c>
      <c r="C22" s="42" t="s">
        <v>17</v>
      </c>
      <c r="D22" s="55"/>
      <c r="E22" s="44">
        <v>6355.7812959048033</v>
      </c>
      <c r="F22" s="44">
        <v>6406.9999999999991</v>
      </c>
      <c r="G22" s="45">
        <v>5499.7483671871487</v>
      </c>
    </row>
    <row r="23" spans="2:13" ht="15.6" x14ac:dyDescent="0.3">
      <c r="B23" s="46">
        <v>13</v>
      </c>
      <c r="C23" s="63" t="s">
        <v>311</v>
      </c>
      <c r="D23" s="64">
        <v>2.1</v>
      </c>
      <c r="E23" s="65">
        <v>6683.8762367346599</v>
      </c>
      <c r="F23" s="66">
        <v>6766.84</v>
      </c>
      <c r="G23" s="67">
        <v>5750.1141668048249</v>
      </c>
      <c r="H23" s="552"/>
      <c r="I23" s="552"/>
    </row>
    <row r="24" spans="2:13" ht="16.2" thickBot="1" x14ac:dyDescent="0.35">
      <c r="B24" s="68">
        <v>14</v>
      </c>
      <c r="C24" s="69" t="s">
        <v>299</v>
      </c>
      <c r="D24" s="69"/>
      <c r="E24" s="70">
        <v>328.09494082985657</v>
      </c>
      <c r="F24" s="70">
        <v>359.84000000000106</v>
      </c>
      <c r="G24" s="71">
        <v>250.3657996176762</v>
      </c>
      <c r="H24" s="552"/>
      <c r="I24" s="552"/>
    </row>
  </sheetData>
  <mergeCells count="6">
    <mergeCell ref="B2:G2"/>
    <mergeCell ref="B3:G3"/>
    <mergeCell ref="B4:G4"/>
    <mergeCell ref="B5:B6"/>
    <mergeCell ref="C5:C6"/>
    <mergeCell ref="D5:D6"/>
  </mergeCells>
  <printOptions horizontalCentered="1" verticalCentered="1"/>
  <pageMargins left="0.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  <pageSetUpPr fitToPage="1"/>
  </sheetPr>
  <dimension ref="B1:X53"/>
  <sheetViews>
    <sheetView view="pageBreakPreview" topLeftCell="A13" zoomScale="60" zoomScaleNormal="70" workbookViewId="0">
      <selection activeCell="A37" sqref="A37:XFD37"/>
    </sheetView>
  </sheetViews>
  <sheetFormatPr defaultColWidth="9.109375" defaultRowHeight="13.8" x14ac:dyDescent="0.25"/>
  <cols>
    <col min="1" max="2" width="9.109375" style="1"/>
    <col min="3" max="3" width="48.109375" style="1" bestFit="1" customWidth="1"/>
    <col min="4" max="5" width="9.109375" style="1"/>
    <col min="6" max="6" width="11.77734375" style="1" bestFit="1" customWidth="1"/>
    <col min="7" max="7" width="14.88671875" style="1" bestFit="1" customWidth="1"/>
    <col min="8" max="8" width="12.88671875" style="1" bestFit="1" customWidth="1"/>
    <col min="9" max="9" width="12" style="1" customWidth="1"/>
    <col min="10" max="10" width="15.77734375" style="1" customWidth="1"/>
    <col min="11" max="11" width="11.33203125" style="1" bestFit="1" customWidth="1"/>
    <col min="12" max="13" width="15.88671875" style="1" bestFit="1" customWidth="1"/>
    <col min="14" max="14" width="10.21875" style="1" bestFit="1" customWidth="1"/>
    <col min="15" max="15" width="12.88671875" style="1" bestFit="1" customWidth="1"/>
    <col min="16" max="16" width="14.6640625" style="1" bestFit="1" customWidth="1"/>
    <col min="17" max="17" width="13.77734375" style="1" bestFit="1" customWidth="1"/>
    <col min="18" max="18" width="13.77734375" style="1" customWidth="1"/>
    <col min="19" max="19" width="16.77734375" style="1" bestFit="1" customWidth="1"/>
    <col min="20" max="20" width="6" style="1" bestFit="1" customWidth="1"/>
    <col min="21" max="21" width="9.109375" style="1"/>
    <col min="22" max="22" width="18.77734375" style="1" customWidth="1"/>
    <col min="23" max="23" width="15.33203125" style="1" bestFit="1" customWidth="1"/>
    <col min="24" max="16384" width="9.109375" style="1"/>
  </cols>
  <sheetData>
    <row r="1" spans="2:22" ht="14.4" thickBot="1" x14ac:dyDescent="0.3"/>
    <row r="2" spans="2:22" s="142" customFormat="1" ht="18.600000000000001" thickBot="1" x14ac:dyDescent="0.4">
      <c r="B2" s="946" t="s">
        <v>531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8"/>
    </row>
    <row r="3" spans="2:22" s="142" customFormat="1" ht="18.600000000000001" thickBot="1" x14ac:dyDescent="0.4">
      <c r="B3" s="949" t="s">
        <v>216</v>
      </c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1"/>
    </row>
    <row r="4" spans="2:22" ht="154.5" customHeight="1" x14ac:dyDescent="0.25">
      <c r="B4" s="87" t="s">
        <v>300</v>
      </c>
      <c r="C4" s="88" t="s">
        <v>1</v>
      </c>
      <c r="D4" s="90" t="s">
        <v>19</v>
      </c>
      <c r="E4" s="90" t="s">
        <v>20</v>
      </c>
      <c r="F4" s="90" t="s">
        <v>301</v>
      </c>
      <c r="G4" s="90" t="s">
        <v>208</v>
      </c>
      <c r="H4" s="90" t="s">
        <v>21</v>
      </c>
      <c r="I4" s="90" t="s">
        <v>314</v>
      </c>
      <c r="J4" s="90" t="s">
        <v>221</v>
      </c>
      <c r="K4" s="90" t="s">
        <v>315</v>
      </c>
      <c r="L4" s="90" t="s">
        <v>222</v>
      </c>
      <c r="M4" s="90" t="s">
        <v>55</v>
      </c>
      <c r="N4" s="90" t="s">
        <v>23</v>
      </c>
      <c r="O4" s="90" t="s">
        <v>302</v>
      </c>
      <c r="P4" s="90" t="s">
        <v>217</v>
      </c>
      <c r="Q4" s="90" t="s">
        <v>218</v>
      </c>
      <c r="R4" s="90" t="s">
        <v>452</v>
      </c>
      <c r="S4" s="90" t="s">
        <v>303</v>
      </c>
      <c r="T4" s="91" t="s">
        <v>304</v>
      </c>
      <c r="V4" s="92"/>
    </row>
    <row r="5" spans="2:22" ht="16.2" thickBot="1" x14ac:dyDescent="0.35">
      <c r="B5" s="93">
        <v>1</v>
      </c>
      <c r="C5" s="94">
        <v>2</v>
      </c>
      <c r="D5" s="94">
        <v>3</v>
      </c>
      <c r="E5" s="94">
        <v>4</v>
      </c>
      <c r="F5" s="94">
        <v>5</v>
      </c>
      <c r="G5" s="94">
        <v>6</v>
      </c>
      <c r="H5" s="94">
        <v>7</v>
      </c>
      <c r="I5" s="94">
        <v>8</v>
      </c>
      <c r="J5" s="94">
        <v>9</v>
      </c>
      <c r="K5" s="94">
        <v>10</v>
      </c>
      <c r="L5" s="94">
        <v>11</v>
      </c>
      <c r="M5" s="94">
        <v>12</v>
      </c>
      <c r="N5" s="94">
        <v>13</v>
      </c>
      <c r="O5" s="94">
        <v>14</v>
      </c>
      <c r="P5" s="94">
        <v>15</v>
      </c>
      <c r="Q5" s="94">
        <v>16</v>
      </c>
      <c r="R5" s="94">
        <v>17</v>
      </c>
      <c r="S5" s="94">
        <v>18</v>
      </c>
      <c r="T5" s="95">
        <v>19</v>
      </c>
    </row>
    <row r="6" spans="2:22" ht="15.6" x14ac:dyDescent="0.3">
      <c r="B6" s="96">
        <v>1</v>
      </c>
      <c r="C6" s="63" t="s">
        <v>226</v>
      </c>
      <c r="D6" s="97">
        <v>208</v>
      </c>
      <c r="E6" s="63">
        <v>208</v>
      </c>
      <c r="F6" s="65">
        <v>17560.390000000003</v>
      </c>
      <c r="G6" s="65">
        <v>1185134.5617333334</v>
      </c>
      <c r="H6" s="98">
        <v>3.4624077283242995E-2</v>
      </c>
      <c r="I6" s="97">
        <v>165</v>
      </c>
      <c r="J6" s="65">
        <v>428505</v>
      </c>
      <c r="K6" s="100">
        <v>6.5</v>
      </c>
      <c r="L6" s="65">
        <v>7703374.6512666671</v>
      </c>
      <c r="M6" s="99">
        <v>8131879.6512666671</v>
      </c>
      <c r="N6" s="101">
        <v>6.8615665375358601</v>
      </c>
      <c r="O6" s="65">
        <v>0</v>
      </c>
      <c r="P6" s="65">
        <v>0</v>
      </c>
      <c r="Q6" s="65">
        <v>0</v>
      </c>
      <c r="R6" s="65">
        <v>0</v>
      </c>
      <c r="S6" s="99">
        <v>8131879.6512666671</v>
      </c>
      <c r="T6" s="102">
        <v>6.8615665375358601</v>
      </c>
      <c r="V6" s="103"/>
    </row>
    <row r="7" spans="2:22" ht="15.6" x14ac:dyDescent="0.3">
      <c r="B7" s="104">
        <v>2</v>
      </c>
      <c r="C7" s="105" t="s">
        <v>227</v>
      </c>
      <c r="D7" s="97">
        <v>65</v>
      </c>
      <c r="E7" s="63">
        <v>65</v>
      </c>
      <c r="F7" s="65">
        <v>13613.896000000001</v>
      </c>
      <c r="G7" s="65">
        <v>845384.65300000005</v>
      </c>
      <c r="H7" s="106">
        <v>2.4698177324884853E-2</v>
      </c>
      <c r="I7" s="107">
        <v>120</v>
      </c>
      <c r="J7" s="65">
        <v>1590432</v>
      </c>
      <c r="K7" s="108">
        <v>6.5</v>
      </c>
      <c r="L7" s="65">
        <v>5495000.2445</v>
      </c>
      <c r="M7" s="99">
        <v>7085432.2445</v>
      </c>
      <c r="N7" s="109">
        <v>8.3813116542346311</v>
      </c>
      <c r="O7" s="65">
        <v>0</v>
      </c>
      <c r="P7" s="65">
        <v>0</v>
      </c>
      <c r="Q7" s="65">
        <v>0</v>
      </c>
      <c r="R7" s="65">
        <v>0</v>
      </c>
      <c r="S7" s="99">
        <v>7085432.2445</v>
      </c>
      <c r="T7" s="110">
        <v>8.3813116542346311</v>
      </c>
      <c r="V7" s="103"/>
    </row>
    <row r="8" spans="2:22" ht="15.6" x14ac:dyDescent="0.3">
      <c r="B8" s="104">
        <v>3</v>
      </c>
      <c r="C8" s="105" t="s">
        <v>228</v>
      </c>
      <c r="D8" s="97">
        <v>239</v>
      </c>
      <c r="E8" s="63">
        <v>239</v>
      </c>
      <c r="F8" s="65">
        <v>258345.52999999997</v>
      </c>
      <c r="G8" s="65">
        <v>26090310.113333337</v>
      </c>
      <c r="H8" s="106">
        <v>0.76223657876167217</v>
      </c>
      <c r="I8" s="107">
        <v>200</v>
      </c>
      <c r="J8" s="65">
        <v>73855752.430019647</v>
      </c>
      <c r="K8" s="108">
        <v>6.6</v>
      </c>
      <c r="L8" s="65">
        <v>171222490.84099999</v>
      </c>
      <c r="M8" s="99">
        <v>245078243.27101964</v>
      </c>
      <c r="N8" s="109">
        <v>9.3934584221662245</v>
      </c>
      <c r="O8" s="65">
        <v>612780</v>
      </c>
      <c r="P8" s="65">
        <v>1678227.92191133</v>
      </c>
      <c r="Q8" s="65">
        <v>6603616.5144430464</v>
      </c>
      <c r="R8" s="65">
        <v>0</v>
      </c>
      <c r="S8" s="99">
        <v>250616411.86355135</v>
      </c>
      <c r="T8" s="110">
        <v>9.6057275967553544</v>
      </c>
      <c r="V8" s="103"/>
    </row>
    <row r="9" spans="2:22" ht="15.6" x14ac:dyDescent="0.3">
      <c r="B9" s="104">
        <v>4</v>
      </c>
      <c r="C9" s="105" t="s">
        <v>229</v>
      </c>
      <c r="D9" s="97">
        <v>2</v>
      </c>
      <c r="E9" s="63">
        <v>2</v>
      </c>
      <c r="F9" s="65">
        <v>976.79999999999984</v>
      </c>
      <c r="G9" s="65">
        <v>35609.200000000004</v>
      </c>
      <c r="H9" s="106">
        <v>1.040333927137532E-3</v>
      </c>
      <c r="I9" s="107">
        <v>80</v>
      </c>
      <c r="J9" s="65">
        <v>72446</v>
      </c>
      <c r="K9" s="108">
        <v>6.65</v>
      </c>
      <c r="L9" s="65">
        <v>235884.20000000004</v>
      </c>
      <c r="M9" s="99">
        <v>308330.20000000007</v>
      </c>
      <c r="N9" s="109">
        <v>8.6587230266335666</v>
      </c>
      <c r="O9" s="65">
        <v>0</v>
      </c>
      <c r="P9" s="65">
        <v>0</v>
      </c>
      <c r="Q9" s="65">
        <v>0</v>
      </c>
      <c r="R9" s="65">
        <v>0</v>
      </c>
      <c r="S9" s="99">
        <v>308330.20000000007</v>
      </c>
      <c r="T9" s="110">
        <v>8.6587230266335666</v>
      </c>
      <c r="V9" s="103"/>
    </row>
    <row r="10" spans="2:22" ht="15.6" x14ac:dyDescent="0.3">
      <c r="B10" s="104">
        <v>5</v>
      </c>
      <c r="C10" s="105" t="s">
        <v>230</v>
      </c>
      <c r="D10" s="97">
        <v>9</v>
      </c>
      <c r="E10" s="63">
        <v>9</v>
      </c>
      <c r="F10" s="65">
        <v>1730.1600000000005</v>
      </c>
      <c r="G10" s="65">
        <v>71244.399999999994</v>
      </c>
      <c r="H10" s="106">
        <v>2.0814274524155883E-3</v>
      </c>
      <c r="I10" s="107">
        <v>105</v>
      </c>
      <c r="J10" s="65">
        <v>166527.89999999997</v>
      </c>
      <c r="K10" s="108">
        <v>7.15</v>
      </c>
      <c r="L10" s="65">
        <v>500801.73</v>
      </c>
      <c r="M10" s="99">
        <v>667329.62999999989</v>
      </c>
      <c r="N10" s="109">
        <v>9.3667660896856439</v>
      </c>
      <c r="O10" s="65">
        <v>0</v>
      </c>
      <c r="P10" s="65">
        <v>0</v>
      </c>
      <c r="Q10" s="65">
        <v>0</v>
      </c>
      <c r="R10" s="65">
        <v>0</v>
      </c>
      <c r="S10" s="99">
        <v>667329.62999999989</v>
      </c>
      <c r="T10" s="110">
        <v>9.3667660896856439</v>
      </c>
      <c r="V10" s="103"/>
    </row>
    <row r="11" spans="2:22" ht="15.6" x14ac:dyDescent="0.3">
      <c r="B11" s="104">
        <v>6</v>
      </c>
      <c r="C11" s="105" t="s">
        <v>231</v>
      </c>
      <c r="D11" s="97">
        <v>33</v>
      </c>
      <c r="E11" s="63">
        <v>33</v>
      </c>
      <c r="F11" s="65">
        <v>3166.2</v>
      </c>
      <c r="G11" s="65">
        <v>245783.64000000004</v>
      </c>
      <c r="H11" s="106">
        <v>7.1806459967468355E-3</v>
      </c>
      <c r="I11" s="107">
        <v>190</v>
      </c>
      <c r="J11" s="65">
        <v>583108.5</v>
      </c>
      <c r="K11" s="108">
        <v>8.65</v>
      </c>
      <c r="L11" s="65">
        <v>2096143.8360000001</v>
      </c>
      <c r="M11" s="99">
        <v>2679252.3360000001</v>
      </c>
      <c r="N11" s="109">
        <v>10.900857095289172</v>
      </c>
      <c r="O11" s="65">
        <v>0</v>
      </c>
      <c r="P11" s="65">
        <v>0</v>
      </c>
      <c r="Q11" s="65">
        <v>0</v>
      </c>
      <c r="R11" s="65">
        <v>0</v>
      </c>
      <c r="S11" s="99">
        <v>2679252.3360000001</v>
      </c>
      <c r="T11" s="110">
        <v>10.900857095289172</v>
      </c>
      <c r="V11" s="103"/>
    </row>
    <row r="12" spans="2:22" ht="15.6" x14ac:dyDescent="0.3">
      <c r="B12" s="104">
        <v>7</v>
      </c>
      <c r="C12" s="105" t="s">
        <v>232</v>
      </c>
      <c r="D12" s="97">
        <v>58</v>
      </c>
      <c r="E12" s="63">
        <v>58</v>
      </c>
      <c r="F12" s="65">
        <v>937.92000000000007</v>
      </c>
      <c r="G12" s="65">
        <v>82096.349999999977</v>
      </c>
      <c r="H12" s="106">
        <v>2.3984705693797471E-3</v>
      </c>
      <c r="I12" s="107">
        <v>90</v>
      </c>
      <c r="J12" s="65">
        <v>77492.899999999994</v>
      </c>
      <c r="K12" s="108">
        <v>9.25</v>
      </c>
      <c r="L12" s="65">
        <v>674951.19849999994</v>
      </c>
      <c r="M12" s="99">
        <v>752444.09849999996</v>
      </c>
      <c r="N12" s="109">
        <v>9.1653782232705865</v>
      </c>
      <c r="O12" s="65">
        <v>0</v>
      </c>
      <c r="P12" s="65">
        <v>0</v>
      </c>
      <c r="Q12" s="65">
        <v>0</v>
      </c>
      <c r="R12" s="65">
        <v>0</v>
      </c>
      <c r="S12" s="99">
        <v>752444.09849999996</v>
      </c>
      <c r="T12" s="110">
        <v>9.1653782232705865</v>
      </c>
      <c r="V12" s="103"/>
    </row>
    <row r="13" spans="2:22" ht="15.6" x14ac:dyDescent="0.3">
      <c r="B13" s="104">
        <v>8</v>
      </c>
      <c r="C13" s="105" t="s">
        <v>233</v>
      </c>
      <c r="D13" s="97">
        <v>50</v>
      </c>
      <c r="E13" s="63">
        <v>50</v>
      </c>
      <c r="F13" s="65">
        <v>1544.9520000000005</v>
      </c>
      <c r="G13" s="65">
        <v>52618.560000000005</v>
      </c>
      <c r="H13" s="106">
        <v>1.5372677051189538E-3</v>
      </c>
      <c r="I13" s="107">
        <v>90</v>
      </c>
      <c r="J13" s="65">
        <v>128075.48000000001</v>
      </c>
      <c r="K13" s="108">
        <v>9.4</v>
      </c>
      <c r="L13" s="65">
        <v>392281.89299999998</v>
      </c>
      <c r="M13" s="99">
        <v>520357.37300000002</v>
      </c>
      <c r="N13" s="109">
        <v>9.8892362884883198</v>
      </c>
      <c r="O13" s="65">
        <v>0</v>
      </c>
      <c r="P13" s="65">
        <v>0</v>
      </c>
      <c r="Q13" s="65">
        <v>0</v>
      </c>
      <c r="R13" s="65">
        <v>0</v>
      </c>
      <c r="S13" s="99">
        <v>520357.37300000002</v>
      </c>
      <c r="T13" s="110">
        <v>9.8892362884883198</v>
      </c>
      <c r="V13" s="103"/>
    </row>
    <row r="14" spans="2:22" ht="15.6" x14ac:dyDescent="0.3">
      <c r="B14" s="104">
        <v>9</v>
      </c>
      <c r="C14" s="105" t="s">
        <v>234</v>
      </c>
      <c r="D14" s="97">
        <v>172</v>
      </c>
      <c r="E14" s="63">
        <v>172</v>
      </c>
      <c r="F14" s="65">
        <v>36810.93</v>
      </c>
      <c r="G14" s="65">
        <v>4195717.3359999992</v>
      </c>
      <c r="H14" s="106">
        <v>0.12257919563820312</v>
      </c>
      <c r="I14" s="107">
        <v>180</v>
      </c>
      <c r="J14" s="65">
        <v>7862469.200000002</v>
      </c>
      <c r="K14" s="108">
        <v>9.25</v>
      </c>
      <c r="L14" s="65">
        <v>38623473.412649997</v>
      </c>
      <c r="M14" s="99">
        <v>46485942.61265</v>
      </c>
      <c r="N14" s="109">
        <v>11.079379016739846</v>
      </c>
      <c r="O14" s="65">
        <v>0</v>
      </c>
      <c r="P14" s="65">
        <v>0</v>
      </c>
      <c r="Q14" s="65">
        <v>0</v>
      </c>
      <c r="R14" s="65">
        <v>0</v>
      </c>
      <c r="S14" s="99">
        <v>46485942.61265</v>
      </c>
      <c r="T14" s="110">
        <v>11.079379016739846</v>
      </c>
      <c r="V14" s="103"/>
    </row>
    <row r="15" spans="2:22" ht="15.6" x14ac:dyDescent="0.3">
      <c r="B15" s="104">
        <v>10</v>
      </c>
      <c r="C15" s="105" t="s">
        <v>235</v>
      </c>
      <c r="D15" s="97">
        <v>51</v>
      </c>
      <c r="E15" s="63">
        <v>51</v>
      </c>
      <c r="F15" s="65">
        <v>9192.155999999999</v>
      </c>
      <c r="G15" s="65">
        <v>509273.9800000001</v>
      </c>
      <c r="H15" s="106">
        <v>1.4878598777910231E-2</v>
      </c>
      <c r="I15" s="107">
        <v>175</v>
      </c>
      <c r="J15" s="65">
        <v>1429109.9000000001</v>
      </c>
      <c r="K15" s="108">
        <v>9.4</v>
      </c>
      <c r="L15" s="65">
        <v>4717154.4385000002</v>
      </c>
      <c r="M15" s="99">
        <v>6146264.3385000005</v>
      </c>
      <c r="N15" s="109">
        <v>12.068679296161958</v>
      </c>
      <c r="O15" s="65">
        <v>0</v>
      </c>
      <c r="P15" s="65">
        <v>0</v>
      </c>
      <c r="Q15" s="65">
        <v>0</v>
      </c>
      <c r="R15" s="65">
        <v>0</v>
      </c>
      <c r="S15" s="99">
        <v>6146264.3385000005</v>
      </c>
      <c r="T15" s="110">
        <v>12.068679296161958</v>
      </c>
      <c r="V15" s="103"/>
    </row>
    <row r="16" spans="2:22" ht="15.6" x14ac:dyDescent="0.3">
      <c r="B16" s="104">
        <v>11</v>
      </c>
      <c r="C16" s="105" t="s">
        <v>236</v>
      </c>
      <c r="D16" s="97">
        <v>11</v>
      </c>
      <c r="E16" s="63">
        <v>11</v>
      </c>
      <c r="F16" s="65">
        <v>127.19999999999997</v>
      </c>
      <c r="G16" s="65">
        <v>3685</v>
      </c>
      <c r="H16" s="106">
        <v>1.0765842876284232E-4</v>
      </c>
      <c r="I16" s="107">
        <v>60</v>
      </c>
      <c r="J16" s="65">
        <v>6500</v>
      </c>
      <c r="K16" s="108">
        <v>6.7</v>
      </c>
      <c r="L16" s="65">
        <v>21257.100000000002</v>
      </c>
      <c r="M16" s="99">
        <v>27757.100000000002</v>
      </c>
      <c r="N16" s="109">
        <v>7.5324559023066495</v>
      </c>
      <c r="O16" s="65">
        <v>0</v>
      </c>
      <c r="P16" s="65">
        <v>0</v>
      </c>
      <c r="Q16" s="65">
        <v>0</v>
      </c>
      <c r="R16" s="65">
        <v>0</v>
      </c>
      <c r="S16" s="99">
        <v>27757.100000000002</v>
      </c>
      <c r="T16" s="110">
        <v>7.5324559023066495</v>
      </c>
      <c r="V16" s="103"/>
    </row>
    <row r="17" spans="2:24" ht="15.6" x14ac:dyDescent="0.3">
      <c r="B17" s="104">
        <v>12</v>
      </c>
      <c r="C17" s="105" t="s">
        <v>237</v>
      </c>
      <c r="D17" s="97">
        <v>6</v>
      </c>
      <c r="E17" s="63">
        <v>6</v>
      </c>
      <c r="F17" s="65">
        <v>296.99999999999994</v>
      </c>
      <c r="G17" s="65">
        <v>23033.730000000003</v>
      </c>
      <c r="H17" s="106">
        <v>6.7293763374424542E-4</v>
      </c>
      <c r="I17" s="107">
        <v>140</v>
      </c>
      <c r="J17" s="65">
        <v>9240</v>
      </c>
      <c r="K17" s="108">
        <v>5.8</v>
      </c>
      <c r="L17" s="65">
        <v>133595.63400000005</v>
      </c>
      <c r="M17" s="99">
        <v>142835.63400000005</v>
      </c>
      <c r="N17" s="109">
        <v>6.2011508340160288</v>
      </c>
      <c r="O17" s="65">
        <v>0</v>
      </c>
      <c r="P17" s="65">
        <v>0</v>
      </c>
      <c r="Q17" s="65">
        <v>0</v>
      </c>
      <c r="R17" s="65">
        <v>0</v>
      </c>
      <c r="S17" s="99">
        <v>142835.63400000005</v>
      </c>
      <c r="T17" s="110">
        <v>6.2011508340160288</v>
      </c>
      <c r="V17" s="103"/>
    </row>
    <row r="18" spans="2:24" ht="15.6" x14ac:dyDescent="0.3">
      <c r="B18" s="104">
        <v>13</v>
      </c>
      <c r="C18" s="105" t="s">
        <v>238</v>
      </c>
      <c r="D18" s="97">
        <v>4</v>
      </c>
      <c r="E18" s="63">
        <v>4</v>
      </c>
      <c r="F18" s="65">
        <v>728.39999999999986</v>
      </c>
      <c r="G18" s="65">
        <v>59856.2</v>
      </c>
      <c r="H18" s="106">
        <v>1.7487176238031052E-3</v>
      </c>
      <c r="I18" s="107">
        <v>85</v>
      </c>
      <c r="J18" s="65">
        <v>59789.5</v>
      </c>
      <c r="K18" s="108">
        <v>5.8</v>
      </c>
      <c r="L18" s="65">
        <v>347165.95999999996</v>
      </c>
      <c r="M18" s="99">
        <v>406955.45999999996</v>
      </c>
      <c r="N18" s="109">
        <v>6.7988856626381224</v>
      </c>
      <c r="O18" s="65">
        <v>0</v>
      </c>
      <c r="P18" s="65">
        <v>0</v>
      </c>
      <c r="Q18" s="65">
        <v>8243.52125756639</v>
      </c>
      <c r="R18" s="65">
        <v>0</v>
      </c>
      <c r="S18" s="99">
        <v>415198.98125756637</v>
      </c>
      <c r="T18" s="110">
        <v>6.9366077575517053</v>
      </c>
      <c r="V18" s="103"/>
    </row>
    <row r="19" spans="2:24" ht="15.6" x14ac:dyDescent="0.3">
      <c r="B19" s="104">
        <v>14</v>
      </c>
      <c r="C19" s="105" t="s">
        <v>239</v>
      </c>
      <c r="D19" s="97">
        <v>7</v>
      </c>
      <c r="E19" s="63">
        <v>7</v>
      </c>
      <c r="F19" s="65">
        <v>3967.76</v>
      </c>
      <c r="G19" s="65">
        <v>314263.99799999996</v>
      </c>
      <c r="H19" s="106">
        <v>9.1813210967188648E-3</v>
      </c>
      <c r="I19" s="107">
        <v>200</v>
      </c>
      <c r="J19" s="65">
        <v>909967.38749999995</v>
      </c>
      <c r="K19" s="108">
        <v>5.85</v>
      </c>
      <c r="L19" s="65">
        <v>1878914.6882999998</v>
      </c>
      <c r="M19" s="99">
        <v>2788882.0757999998</v>
      </c>
      <c r="N19" s="109">
        <v>8.8743288876506945</v>
      </c>
      <c r="O19" s="65">
        <v>6144.75</v>
      </c>
      <c r="P19" s="65">
        <v>247.3982308383226</v>
      </c>
      <c r="Q19" s="65">
        <v>189347.0769737261</v>
      </c>
      <c r="R19" s="65">
        <v>0</v>
      </c>
      <c r="S19" s="99">
        <v>2984126.5045428877</v>
      </c>
      <c r="T19" s="110">
        <v>9.4956040893455693</v>
      </c>
      <c r="V19" s="103"/>
    </row>
    <row r="20" spans="2:24" ht="15.6" x14ac:dyDescent="0.3">
      <c r="B20" s="104">
        <v>15</v>
      </c>
      <c r="C20" s="105" t="s">
        <v>294</v>
      </c>
      <c r="D20" s="97">
        <v>1</v>
      </c>
      <c r="E20" s="63">
        <v>1</v>
      </c>
      <c r="F20" s="65">
        <v>175.67999999999995</v>
      </c>
      <c r="G20" s="65">
        <v>5400</v>
      </c>
      <c r="H20" s="111">
        <v>1.5776269072438224E-4</v>
      </c>
      <c r="I20" s="107">
        <v>165</v>
      </c>
      <c r="J20" s="65">
        <v>10980</v>
      </c>
      <c r="K20" s="108">
        <v>8.6</v>
      </c>
      <c r="L20" s="65">
        <v>46440</v>
      </c>
      <c r="M20" s="99">
        <v>57420</v>
      </c>
      <c r="N20" s="109">
        <v>10.633333333333333</v>
      </c>
      <c r="O20" s="65">
        <v>0</v>
      </c>
      <c r="P20" s="65">
        <v>0</v>
      </c>
      <c r="Q20" s="65">
        <v>0</v>
      </c>
      <c r="R20" s="65">
        <v>0</v>
      </c>
      <c r="S20" s="99">
        <v>57420</v>
      </c>
      <c r="T20" s="110">
        <v>10.633333333333333</v>
      </c>
      <c r="V20" s="103"/>
    </row>
    <row r="21" spans="2:24" ht="15.6" x14ac:dyDescent="0.3">
      <c r="B21" s="104">
        <v>16</v>
      </c>
      <c r="C21" s="105" t="s">
        <v>453</v>
      </c>
      <c r="D21" s="97">
        <v>2</v>
      </c>
      <c r="E21" s="63">
        <v>2</v>
      </c>
      <c r="F21" s="65">
        <v>24</v>
      </c>
      <c r="G21" s="65">
        <v>5449</v>
      </c>
      <c r="H21" s="111">
        <v>1.5919424106614053E-4</v>
      </c>
      <c r="I21" s="107">
        <v>700</v>
      </c>
      <c r="J21" s="65">
        <v>16800</v>
      </c>
      <c r="K21" s="108">
        <v>12.5</v>
      </c>
      <c r="L21" s="65">
        <v>68112.5</v>
      </c>
      <c r="M21" s="99">
        <v>84912.5</v>
      </c>
      <c r="N21" s="109">
        <v>15.583134520095431</v>
      </c>
      <c r="O21" s="65">
        <v>0</v>
      </c>
      <c r="P21" s="65">
        <v>0</v>
      </c>
      <c r="Q21" s="65">
        <v>0</v>
      </c>
      <c r="R21" s="65">
        <v>0</v>
      </c>
      <c r="S21" s="99">
        <v>84912.5</v>
      </c>
      <c r="T21" s="110">
        <v>15.583134520095431</v>
      </c>
      <c r="V21" s="103"/>
    </row>
    <row r="22" spans="2:24" s="73" customFormat="1" ht="15.6" x14ac:dyDescent="0.3">
      <c r="B22" s="104">
        <v>17</v>
      </c>
      <c r="C22" s="105" t="s">
        <v>550</v>
      </c>
      <c r="D22" s="97">
        <v>1</v>
      </c>
      <c r="E22" s="63">
        <v>1</v>
      </c>
      <c r="F22" s="65">
        <v>360</v>
      </c>
      <c r="G22" s="65">
        <v>24734.570000000003</v>
      </c>
      <c r="H22" s="111">
        <v>7.2262820687233036E-4</v>
      </c>
      <c r="I22" s="107">
        <v>100</v>
      </c>
      <c r="J22" s="65">
        <v>34400</v>
      </c>
      <c r="K22" s="108">
        <v>5.5</v>
      </c>
      <c r="L22" s="65">
        <v>136040.13499999998</v>
      </c>
      <c r="M22" s="99">
        <v>170440.13499999998</v>
      </c>
      <c r="N22" s="109">
        <v>6.8907660412127623</v>
      </c>
      <c r="O22" s="65">
        <v>0</v>
      </c>
      <c r="P22" s="65">
        <v>0</v>
      </c>
      <c r="Q22" s="65">
        <v>0</v>
      </c>
      <c r="R22" s="65">
        <v>0</v>
      </c>
      <c r="S22" s="99">
        <v>170440.13499999998</v>
      </c>
      <c r="T22" s="110">
        <v>6.8907660412127623</v>
      </c>
      <c r="U22" s="660"/>
    </row>
    <row r="23" spans="2:24" ht="15.6" x14ac:dyDescent="0.3">
      <c r="B23" s="104">
        <v>18</v>
      </c>
      <c r="C23" s="105" t="s">
        <v>214</v>
      </c>
      <c r="D23" s="97">
        <v>3</v>
      </c>
      <c r="E23" s="63">
        <v>3</v>
      </c>
      <c r="F23" s="65">
        <v>4180</v>
      </c>
      <c r="G23" s="65">
        <v>337829.4360000001</v>
      </c>
      <c r="H23" s="106">
        <v>9.8697927461593518E-3</v>
      </c>
      <c r="I23" s="107">
        <v>200</v>
      </c>
      <c r="J23" s="65">
        <v>836000</v>
      </c>
      <c r="K23" s="108">
        <v>6.6</v>
      </c>
      <c r="L23" s="65">
        <v>2229672</v>
      </c>
      <c r="M23" s="99">
        <v>3065672</v>
      </c>
      <c r="N23" s="109">
        <v>9.0746148005883036</v>
      </c>
      <c r="O23" s="65">
        <v>0</v>
      </c>
      <c r="P23" s="65">
        <v>0</v>
      </c>
      <c r="Q23" s="65">
        <v>0</v>
      </c>
      <c r="R23" s="65">
        <v>0</v>
      </c>
      <c r="S23" s="99">
        <v>3065672</v>
      </c>
      <c r="T23" s="110">
        <v>9.0746148005883036</v>
      </c>
      <c r="V23" s="103"/>
    </row>
    <row r="24" spans="2:24" ht="16.2" thickBot="1" x14ac:dyDescent="0.35">
      <c r="B24" s="112">
        <v>19</v>
      </c>
      <c r="C24" s="113" t="s">
        <v>53</v>
      </c>
      <c r="D24" s="97">
        <v>18</v>
      </c>
      <c r="E24" s="63">
        <v>18</v>
      </c>
      <c r="F24" s="65">
        <v>1062</v>
      </c>
      <c r="G24" s="65">
        <v>141200.40000000002</v>
      </c>
      <c r="H24" s="114">
        <v>4.1252138954368644E-3</v>
      </c>
      <c r="I24" s="115">
        <v>90</v>
      </c>
      <c r="J24" s="65">
        <v>17550</v>
      </c>
      <c r="K24" s="116">
        <v>4.8</v>
      </c>
      <c r="L24" s="65">
        <v>668948.16000000027</v>
      </c>
      <c r="M24" s="99">
        <v>686498.16000000027</v>
      </c>
      <c r="N24" s="117">
        <v>4.8618712128294268</v>
      </c>
      <c r="O24" s="65">
        <v>0</v>
      </c>
      <c r="P24" s="65">
        <v>0</v>
      </c>
      <c r="Q24" s="65">
        <v>0</v>
      </c>
      <c r="R24" s="65">
        <v>0</v>
      </c>
      <c r="S24" s="99">
        <v>686498.16000000027</v>
      </c>
      <c r="T24" s="118">
        <v>4.8618712128294268</v>
      </c>
      <c r="V24" s="103"/>
    </row>
    <row r="25" spans="2:24" ht="16.2" thickBot="1" x14ac:dyDescent="0.35">
      <c r="B25" s="119">
        <v>20</v>
      </c>
      <c r="C25" s="120" t="s">
        <v>305</v>
      </c>
      <c r="D25" s="120">
        <v>940</v>
      </c>
      <c r="E25" s="120">
        <v>940</v>
      </c>
      <c r="F25" s="232">
        <v>354800.97399999999</v>
      </c>
      <c r="G25" s="232">
        <v>34228625.128066666</v>
      </c>
      <c r="H25" s="122">
        <v>1</v>
      </c>
      <c r="I25" s="123"/>
      <c r="J25" s="124">
        <v>88095146.197519675</v>
      </c>
      <c r="K25" s="121"/>
      <c r="L25" s="124">
        <v>237191702.62271664</v>
      </c>
      <c r="M25" s="124">
        <v>325286848.82023633</v>
      </c>
      <c r="N25" s="125">
        <v>9.5033571346547827</v>
      </c>
      <c r="O25" s="124">
        <v>618924.75</v>
      </c>
      <c r="P25" s="124">
        <v>1678475.3201421683</v>
      </c>
      <c r="Q25" s="124">
        <v>6801207.1126743387</v>
      </c>
      <c r="R25" s="124">
        <v>0</v>
      </c>
      <c r="S25" s="124">
        <v>331028505.36276853</v>
      </c>
      <c r="T25" s="126">
        <v>9.6711014282409185</v>
      </c>
      <c r="V25" s="103"/>
      <c r="W25" s="127"/>
      <c r="X25" s="127"/>
    </row>
    <row r="26" spans="2:24" ht="15.6" x14ac:dyDescent="0.3">
      <c r="B26" s="96">
        <v>21</v>
      </c>
      <c r="C26" s="63" t="s">
        <v>309</v>
      </c>
      <c r="D26" s="63">
        <v>18</v>
      </c>
      <c r="E26" s="63">
        <v>18</v>
      </c>
      <c r="F26" s="65">
        <v>184825.12</v>
      </c>
      <c r="G26" s="65">
        <v>35639419.489999995</v>
      </c>
      <c r="H26" s="98">
        <v>0.88707544740314836</v>
      </c>
      <c r="I26" s="97">
        <v>410</v>
      </c>
      <c r="J26" s="65">
        <v>62085639.480000004</v>
      </c>
      <c r="K26" s="100">
        <v>6.6</v>
      </c>
      <c r="L26" s="65">
        <v>239181540.60900003</v>
      </c>
      <c r="M26" s="99">
        <v>301267180.08900005</v>
      </c>
      <c r="N26" s="101">
        <v>8.4532011014806816</v>
      </c>
      <c r="O26" s="65">
        <v>165242.30000000005</v>
      </c>
      <c r="P26" s="65">
        <v>4062263.2512271879</v>
      </c>
      <c r="Q26" s="65">
        <v>128636.0127594622</v>
      </c>
      <c r="R26" s="65">
        <v>1389938.55</v>
      </c>
      <c r="S26" s="99">
        <v>298888733.70053232</v>
      </c>
      <c r="T26" s="102">
        <v>8.3864647061492406</v>
      </c>
      <c r="V26" s="103"/>
    </row>
    <row r="27" spans="2:24" ht="15.6" x14ac:dyDescent="0.3">
      <c r="B27" s="104">
        <v>22</v>
      </c>
      <c r="C27" s="105" t="s">
        <v>308</v>
      </c>
      <c r="D27" s="63">
        <v>2</v>
      </c>
      <c r="E27" s="63">
        <v>2</v>
      </c>
      <c r="F27" s="65">
        <v>6900</v>
      </c>
      <c r="G27" s="65">
        <v>1410525</v>
      </c>
      <c r="H27" s="106">
        <v>3.5108374753393776E-2</v>
      </c>
      <c r="I27" s="107">
        <v>440</v>
      </c>
      <c r="J27" s="65">
        <v>2363103.5999999996</v>
      </c>
      <c r="K27" s="108">
        <v>6.05</v>
      </c>
      <c r="L27" s="65">
        <v>8431046.7850000001</v>
      </c>
      <c r="M27" s="99">
        <v>10794150.385</v>
      </c>
      <c r="N27" s="109">
        <v>7.6525764413959338</v>
      </c>
      <c r="O27" s="65">
        <v>0</v>
      </c>
      <c r="P27" s="65">
        <v>195641.99810368329</v>
      </c>
      <c r="Q27" s="65">
        <v>0</v>
      </c>
      <c r="R27" s="65">
        <v>0</v>
      </c>
      <c r="S27" s="99">
        <v>10598508.386896316</v>
      </c>
      <c r="T27" s="110">
        <v>7.5138748954441192</v>
      </c>
      <c r="V27" s="103"/>
    </row>
    <row r="28" spans="2:24" ht="15.6" x14ac:dyDescent="0.3">
      <c r="B28" s="96">
        <v>23</v>
      </c>
      <c r="C28" s="113" t="s">
        <v>451</v>
      </c>
      <c r="D28" s="63">
        <v>3</v>
      </c>
      <c r="E28" s="63">
        <v>3</v>
      </c>
      <c r="F28" s="65">
        <v>9340</v>
      </c>
      <c r="G28" s="65">
        <v>2681290</v>
      </c>
      <c r="H28" s="106">
        <v>6.6738082729853918E-2</v>
      </c>
      <c r="I28" s="115">
        <v>525</v>
      </c>
      <c r="J28" s="65">
        <v>3788625.3999999994</v>
      </c>
      <c r="K28" s="116">
        <v>7.8</v>
      </c>
      <c r="L28" s="65">
        <v>18293732.800000001</v>
      </c>
      <c r="M28" s="99">
        <v>22082358.199999999</v>
      </c>
      <c r="N28" s="109">
        <v>8.2357216862032825</v>
      </c>
      <c r="O28" s="65">
        <v>73001.700000000012</v>
      </c>
      <c r="P28" s="65">
        <v>307803.99302834936</v>
      </c>
      <c r="Q28" s="65">
        <v>152267.24981478049</v>
      </c>
      <c r="R28" s="65">
        <v>0</v>
      </c>
      <c r="S28" s="99">
        <v>21999823.156786431</v>
      </c>
      <c r="T28" s="118"/>
      <c r="V28" s="103"/>
    </row>
    <row r="29" spans="2:24" ht="16.2" thickBot="1" x14ac:dyDescent="0.35">
      <c r="B29" s="104">
        <v>24</v>
      </c>
      <c r="C29" s="113" t="s">
        <v>54</v>
      </c>
      <c r="D29" s="63">
        <v>1</v>
      </c>
      <c r="E29" s="63">
        <v>1</v>
      </c>
      <c r="F29" s="65">
        <v>2400</v>
      </c>
      <c r="G29" s="65">
        <v>445077</v>
      </c>
      <c r="H29" s="106">
        <v>1.1078095113603971E-2</v>
      </c>
      <c r="I29" s="115">
        <v>500</v>
      </c>
      <c r="J29" s="65">
        <v>889500</v>
      </c>
      <c r="K29" s="116">
        <v>7.9</v>
      </c>
      <c r="L29" s="65">
        <v>3526925.4750000006</v>
      </c>
      <c r="M29" s="99">
        <v>4416425.4750000006</v>
      </c>
      <c r="N29" s="109">
        <v>9.9228346443424407</v>
      </c>
      <c r="O29" s="65">
        <v>0</v>
      </c>
      <c r="P29" s="65">
        <v>43540.578765301783</v>
      </c>
      <c r="Q29" s="65">
        <v>0</v>
      </c>
      <c r="R29" s="65">
        <v>0</v>
      </c>
      <c r="S29" s="99">
        <v>4372884.8962346986</v>
      </c>
      <c r="T29" s="118">
        <v>9.8250075744976684</v>
      </c>
      <c r="V29" s="103"/>
    </row>
    <row r="30" spans="2:24" ht="15.6" x14ac:dyDescent="0.3">
      <c r="B30" s="128">
        <v>25</v>
      </c>
      <c r="C30" s="129" t="s">
        <v>306</v>
      </c>
      <c r="D30" s="130">
        <v>24</v>
      </c>
      <c r="E30" s="130">
        <v>24</v>
      </c>
      <c r="F30" s="234">
        <v>203465.12</v>
      </c>
      <c r="G30" s="234">
        <v>40176311.489999995</v>
      </c>
      <c r="H30" s="131">
        <v>1</v>
      </c>
      <c r="I30" s="130"/>
      <c r="J30" s="132">
        <v>69126868.480000004</v>
      </c>
      <c r="K30" s="130"/>
      <c r="L30" s="132">
        <v>269433245.66900003</v>
      </c>
      <c r="M30" s="132">
        <v>338560114.14900005</v>
      </c>
      <c r="N30" s="133">
        <v>8.4268590518387612</v>
      </c>
      <c r="O30" s="132">
        <v>238244.00000000006</v>
      </c>
      <c r="P30" s="132">
        <v>4609249.821124522</v>
      </c>
      <c r="Q30" s="132">
        <v>280903.26257424266</v>
      </c>
      <c r="R30" s="132">
        <v>1389938.55</v>
      </c>
      <c r="S30" s="132">
        <v>335859950.14044976</v>
      </c>
      <c r="T30" s="134">
        <v>8.359651189583353</v>
      </c>
      <c r="V30" s="103"/>
    </row>
    <row r="31" spans="2:24" ht="16.2" thickBot="1" x14ac:dyDescent="0.35">
      <c r="B31" s="135">
        <v>26</v>
      </c>
      <c r="C31" s="136" t="s">
        <v>267</v>
      </c>
      <c r="D31" s="136">
        <v>964</v>
      </c>
      <c r="E31" s="136">
        <v>964</v>
      </c>
      <c r="F31" s="236">
        <v>558266.09400000004</v>
      </c>
      <c r="G31" s="236">
        <v>74404936.618066669</v>
      </c>
      <c r="H31" s="136"/>
      <c r="I31" s="136"/>
      <c r="J31" s="137">
        <v>157222014.67751968</v>
      </c>
      <c r="K31" s="136"/>
      <c r="L31" s="137">
        <v>506624948.29171669</v>
      </c>
      <c r="M31" s="137">
        <v>663846962.96923637</v>
      </c>
      <c r="N31" s="136">
        <v>8.92</v>
      </c>
      <c r="O31" s="137">
        <v>857168.75</v>
      </c>
      <c r="P31" s="137">
        <v>6287725.1412666906</v>
      </c>
      <c r="Q31" s="137">
        <v>7082110.3752485812</v>
      </c>
      <c r="R31" s="137">
        <v>1389938.55</v>
      </c>
      <c r="S31" s="137">
        <v>666888455.50321829</v>
      </c>
      <c r="T31" s="138">
        <v>8.9629597956177474</v>
      </c>
      <c r="U31" s="127"/>
      <c r="V31" s="127"/>
    </row>
    <row r="32" spans="2:24" ht="15.6" x14ac:dyDescent="0.3">
      <c r="B32" s="96">
        <v>27</v>
      </c>
      <c r="C32" s="63" t="s">
        <v>24</v>
      </c>
      <c r="D32" s="63"/>
      <c r="E32" s="63"/>
      <c r="F32" s="97"/>
      <c r="G32" s="97"/>
      <c r="H32" s="97"/>
      <c r="I32" s="97"/>
      <c r="J32" s="97"/>
      <c r="K32" s="97"/>
      <c r="L32" s="97"/>
      <c r="M32" s="97"/>
      <c r="N32" s="101"/>
      <c r="O32" s="97"/>
      <c r="P32" s="97"/>
      <c r="Q32" s="97"/>
      <c r="R32" s="97"/>
      <c r="S32" s="140">
        <v>39357294.609948218</v>
      </c>
      <c r="T32" s="102"/>
      <c r="V32" s="127"/>
    </row>
    <row r="33" spans="2:23" ht="15.6" x14ac:dyDescent="0.3">
      <c r="B33" s="104">
        <v>28</v>
      </c>
      <c r="C33" s="105" t="s">
        <v>25</v>
      </c>
      <c r="D33" s="105"/>
      <c r="E33" s="105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39">
        <v>706245750.11316657</v>
      </c>
      <c r="T33" s="110"/>
      <c r="V33" s="127"/>
    </row>
    <row r="34" spans="2:23" ht="16.2" thickBot="1" x14ac:dyDescent="0.35">
      <c r="B34" s="112">
        <v>29</v>
      </c>
      <c r="C34" s="113" t="s">
        <v>468</v>
      </c>
      <c r="D34" s="113"/>
      <c r="E34" s="113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40">
        <v>37858126.439700589</v>
      </c>
      <c r="T34" s="118"/>
      <c r="V34" s="127"/>
      <c r="W34" s="127"/>
    </row>
    <row r="35" spans="2:23" ht="16.2" thickBot="1" x14ac:dyDescent="0.35">
      <c r="B35" s="119">
        <v>30</v>
      </c>
      <c r="C35" s="120" t="s">
        <v>307</v>
      </c>
      <c r="D35" s="120"/>
      <c r="E35" s="120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4">
        <v>668387623.67346597</v>
      </c>
      <c r="T35" s="126"/>
    </row>
    <row r="36" spans="2:23" x14ac:dyDescent="0.25">
      <c r="S36" s="661"/>
    </row>
    <row r="37" spans="2:23" ht="15.6" x14ac:dyDescent="0.3">
      <c r="Q37" s="73"/>
      <c r="R37" s="73"/>
      <c r="S37" s="141"/>
    </row>
    <row r="38" spans="2:23" x14ac:dyDescent="0.25">
      <c r="S38" s="25"/>
    </row>
    <row r="39" spans="2:23" x14ac:dyDescent="0.25">
      <c r="G39" s="387"/>
      <c r="H39" s="387"/>
      <c r="I39" s="387"/>
      <c r="J39" s="387"/>
      <c r="K39" s="387"/>
      <c r="L39" s="387"/>
      <c r="S39" s="387"/>
    </row>
    <row r="40" spans="2:23" x14ac:dyDescent="0.25">
      <c r="G40" s="387"/>
      <c r="H40" s="387"/>
      <c r="I40" s="387"/>
      <c r="J40" s="387"/>
      <c r="K40" s="387"/>
      <c r="L40" s="387"/>
      <c r="S40" s="387"/>
    </row>
    <row r="41" spans="2:23" ht="15.6" x14ac:dyDescent="0.3">
      <c r="B41" s="72"/>
      <c r="C41" s="73"/>
      <c r="D41" s="73"/>
      <c r="E41" s="73"/>
      <c r="F41" s="73"/>
      <c r="M41" s="74"/>
    </row>
    <row r="42" spans="2:23" ht="15.6" x14ac:dyDescent="0.3">
      <c r="B42" s="72"/>
      <c r="C42" s="73"/>
      <c r="D42" s="73"/>
      <c r="E42" s="73"/>
      <c r="F42" s="73"/>
      <c r="M42" s="75"/>
    </row>
    <row r="43" spans="2:23" ht="15.6" x14ac:dyDescent="0.3">
      <c r="B43" s="73"/>
      <c r="C43" s="73"/>
      <c r="D43" s="73"/>
      <c r="E43" s="73"/>
      <c r="F43" s="76"/>
      <c r="M43" s="73"/>
    </row>
    <row r="44" spans="2:23" ht="15.6" x14ac:dyDescent="0.3">
      <c r="B44" s="73"/>
      <c r="C44" s="73"/>
      <c r="D44" s="73"/>
      <c r="E44" s="73"/>
      <c r="F44" s="76"/>
      <c r="M44" s="73"/>
    </row>
    <row r="45" spans="2:23" ht="15.6" x14ac:dyDescent="0.3">
      <c r="B45" s="73"/>
      <c r="C45" s="73"/>
      <c r="D45" s="73"/>
      <c r="E45" s="73"/>
      <c r="F45" s="76"/>
      <c r="M45" s="73"/>
    </row>
    <row r="46" spans="2:23" ht="15.6" x14ac:dyDescent="0.3">
      <c r="B46" s="73"/>
      <c r="C46" s="73"/>
      <c r="D46" s="73"/>
      <c r="E46" s="73"/>
      <c r="F46" s="73"/>
      <c r="M46" s="73"/>
    </row>
    <row r="47" spans="2:23" ht="15.6" x14ac:dyDescent="0.3">
      <c r="B47" s="84"/>
      <c r="C47" s="77"/>
      <c r="D47" s="78"/>
      <c r="E47" s="73"/>
      <c r="F47" s="73"/>
      <c r="M47" s="79"/>
    </row>
    <row r="48" spans="2:23" ht="15.6" x14ac:dyDescent="0.3">
      <c r="B48" s="84"/>
      <c r="C48" s="80"/>
      <c r="D48" s="78"/>
      <c r="E48" s="73"/>
      <c r="F48" s="81"/>
      <c r="M48" s="79"/>
    </row>
    <row r="49" spans="2:7" ht="15.6" x14ac:dyDescent="0.3">
      <c r="B49" s="82"/>
      <c r="C49" s="82"/>
      <c r="D49" s="82"/>
      <c r="E49" s="82"/>
      <c r="F49" s="73"/>
      <c r="G49" s="73"/>
    </row>
    <row r="50" spans="2:7" ht="15.6" x14ac:dyDescent="0.3">
      <c r="B50" s="82"/>
      <c r="C50" s="82"/>
      <c r="D50" s="82"/>
      <c r="E50" s="73"/>
      <c r="F50" s="79"/>
      <c r="G50" s="73"/>
    </row>
    <row r="51" spans="2:7" ht="15.6" x14ac:dyDescent="0.3">
      <c r="B51" s="73"/>
      <c r="C51" s="82"/>
      <c r="D51" s="82"/>
      <c r="E51" s="73"/>
      <c r="F51" s="83"/>
      <c r="G51" s="73"/>
    </row>
    <row r="52" spans="2:7" ht="15.6" x14ac:dyDescent="0.3">
      <c r="C52" s="82"/>
      <c r="D52" s="82"/>
      <c r="E52" s="85"/>
      <c r="F52" s="83"/>
      <c r="G52" s="73"/>
    </row>
    <row r="53" spans="2:7" ht="15.6" x14ac:dyDescent="0.3">
      <c r="C53" s="82"/>
      <c r="D53" s="82"/>
      <c r="E53" s="82"/>
      <c r="F53" s="86"/>
      <c r="G53" s="73"/>
    </row>
  </sheetData>
  <mergeCells count="2">
    <mergeCell ref="B2:T2"/>
    <mergeCell ref="B3:T3"/>
  </mergeCells>
  <printOptions horizontalCentered="1" verticalCentered="1"/>
  <pageMargins left="0.7" right="0.7" top="0.75" bottom="0.75" header="0.3" footer="0.3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00000"/>
    <pageSetUpPr fitToPage="1"/>
  </sheetPr>
  <dimension ref="B1:U53"/>
  <sheetViews>
    <sheetView view="pageBreakPreview" topLeftCell="A19" zoomScale="60" zoomScaleNormal="70" workbookViewId="0">
      <selection activeCell="A36" sqref="A36:XFD49"/>
    </sheetView>
  </sheetViews>
  <sheetFormatPr defaultColWidth="9.109375" defaultRowHeight="15.6" x14ac:dyDescent="0.3"/>
  <cols>
    <col min="1" max="2" width="9.109375" style="73"/>
    <col min="3" max="3" width="48.109375" style="73" bestFit="1" customWidth="1"/>
    <col min="4" max="4" width="5" style="73" bestFit="1" customWidth="1"/>
    <col min="5" max="5" width="7.21875" style="73" bestFit="1" customWidth="1"/>
    <col min="6" max="6" width="12" style="73" bestFit="1" customWidth="1"/>
    <col min="7" max="7" width="14.33203125" style="73" bestFit="1" customWidth="1"/>
    <col min="8" max="8" width="12.88671875" style="73" bestFit="1" customWidth="1"/>
    <col min="9" max="9" width="11.21875" style="73" customWidth="1"/>
    <col min="10" max="10" width="15.77734375" style="73" customWidth="1"/>
    <col min="11" max="11" width="17.88671875" style="73" customWidth="1"/>
    <col min="12" max="13" width="15.88671875" style="73" bestFit="1" customWidth="1"/>
    <col min="14" max="14" width="8.77734375" style="73" bestFit="1" customWidth="1"/>
    <col min="15" max="17" width="12.88671875" style="73" bestFit="1" customWidth="1"/>
    <col min="18" max="18" width="12.88671875" style="73" customWidth="1"/>
    <col min="19" max="19" width="15.88671875" style="73" bestFit="1" customWidth="1"/>
    <col min="20" max="20" width="8.21875" style="73" customWidth="1"/>
    <col min="21" max="21" width="13.33203125" style="73" bestFit="1" customWidth="1"/>
    <col min="22" max="16384" width="9.109375" style="73"/>
  </cols>
  <sheetData>
    <row r="1" spans="2:21" ht="16.2" thickBot="1" x14ac:dyDescent="0.35"/>
    <row r="2" spans="2:21" ht="16.2" thickBot="1" x14ac:dyDescent="0.35">
      <c r="B2" s="952" t="s">
        <v>532</v>
      </c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4"/>
    </row>
    <row r="3" spans="2:21" ht="16.2" thickBot="1" x14ac:dyDescent="0.35">
      <c r="B3" s="955" t="s">
        <v>216</v>
      </c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  <c r="O3" s="956"/>
      <c r="P3" s="956"/>
      <c r="Q3" s="956"/>
      <c r="R3" s="956"/>
      <c r="S3" s="956"/>
      <c r="T3" s="957"/>
    </row>
    <row r="4" spans="2:21" ht="105.6" x14ac:dyDescent="0.3">
      <c r="B4" s="87" t="s">
        <v>300</v>
      </c>
      <c r="C4" s="88" t="s">
        <v>1</v>
      </c>
      <c r="D4" s="89" t="s">
        <v>19</v>
      </c>
      <c r="E4" s="89" t="s">
        <v>20</v>
      </c>
      <c r="F4" s="90" t="s">
        <v>301</v>
      </c>
      <c r="G4" s="90" t="s">
        <v>208</v>
      </c>
      <c r="H4" s="90" t="s">
        <v>21</v>
      </c>
      <c r="I4" s="90" t="s">
        <v>314</v>
      </c>
      <c r="J4" s="90" t="s">
        <v>221</v>
      </c>
      <c r="K4" s="90" t="s">
        <v>315</v>
      </c>
      <c r="L4" s="90" t="s">
        <v>222</v>
      </c>
      <c r="M4" s="90" t="s">
        <v>55</v>
      </c>
      <c r="N4" s="90" t="s">
        <v>23</v>
      </c>
      <c r="O4" s="90" t="s">
        <v>302</v>
      </c>
      <c r="P4" s="90" t="s">
        <v>217</v>
      </c>
      <c r="Q4" s="90" t="s">
        <v>218</v>
      </c>
      <c r="R4" s="90" t="s">
        <v>452</v>
      </c>
      <c r="S4" s="90" t="s">
        <v>303</v>
      </c>
      <c r="T4" s="91" t="s">
        <v>304</v>
      </c>
    </row>
    <row r="5" spans="2:21" ht="16.2" thickBot="1" x14ac:dyDescent="0.35">
      <c r="B5" s="93">
        <v>1</v>
      </c>
      <c r="C5" s="94">
        <v>2</v>
      </c>
      <c r="D5" s="94">
        <v>3</v>
      </c>
      <c r="E5" s="94">
        <v>4</v>
      </c>
      <c r="F5" s="94">
        <v>5</v>
      </c>
      <c r="G5" s="94">
        <v>6</v>
      </c>
      <c r="H5" s="94">
        <v>7</v>
      </c>
      <c r="I5" s="94">
        <v>8</v>
      </c>
      <c r="J5" s="94">
        <v>9</v>
      </c>
      <c r="K5" s="94">
        <v>10</v>
      </c>
      <c r="L5" s="94">
        <v>11</v>
      </c>
      <c r="M5" s="94">
        <v>12</v>
      </c>
      <c r="N5" s="94">
        <v>13</v>
      </c>
      <c r="O5" s="94">
        <v>14</v>
      </c>
      <c r="P5" s="94">
        <v>15</v>
      </c>
      <c r="Q5" s="94">
        <v>16</v>
      </c>
      <c r="R5" s="94">
        <v>17</v>
      </c>
      <c r="S5" s="94">
        <v>18</v>
      </c>
      <c r="T5" s="95">
        <v>19</v>
      </c>
    </row>
    <row r="6" spans="2:21" x14ac:dyDescent="0.3">
      <c r="B6" s="96">
        <v>1</v>
      </c>
      <c r="C6" s="63" t="s">
        <v>226</v>
      </c>
      <c r="D6" s="97">
        <v>50</v>
      </c>
      <c r="E6" s="63">
        <v>50</v>
      </c>
      <c r="F6" s="65">
        <v>3484.5360000000014</v>
      </c>
      <c r="G6" s="65">
        <v>128186.98999999999</v>
      </c>
      <c r="H6" s="98">
        <v>5.2255066787545218E-3</v>
      </c>
      <c r="I6" s="97">
        <v>165</v>
      </c>
      <c r="J6" s="65">
        <v>115500</v>
      </c>
      <c r="K6" s="100">
        <v>6.5</v>
      </c>
      <c r="L6" s="65">
        <v>833215.43500000006</v>
      </c>
      <c r="M6" s="99">
        <v>948715.43500000006</v>
      </c>
      <c r="N6" s="101">
        <v>7.401027475565189</v>
      </c>
      <c r="O6" s="65">
        <v>0</v>
      </c>
      <c r="P6" s="65">
        <v>0</v>
      </c>
      <c r="Q6" s="65">
        <v>0</v>
      </c>
      <c r="R6" s="65">
        <v>0</v>
      </c>
      <c r="S6" s="99">
        <v>948715.43500000006</v>
      </c>
      <c r="T6" s="67">
        <v>7.401027475565189</v>
      </c>
      <c r="U6" s="660"/>
    </row>
    <row r="7" spans="2:21" x14ac:dyDescent="0.3">
      <c r="B7" s="104">
        <v>2</v>
      </c>
      <c r="C7" s="105" t="s">
        <v>227</v>
      </c>
      <c r="D7" s="97">
        <v>39</v>
      </c>
      <c r="E7" s="63">
        <v>39</v>
      </c>
      <c r="F7" s="65">
        <v>8761.2160000000003</v>
      </c>
      <c r="G7" s="65">
        <v>676984.71000000008</v>
      </c>
      <c r="H7" s="106">
        <v>2.7597091744799483E-2</v>
      </c>
      <c r="I7" s="107">
        <v>120</v>
      </c>
      <c r="J7" s="65">
        <v>1028548.8000000002</v>
      </c>
      <c r="K7" s="108">
        <v>6.5</v>
      </c>
      <c r="L7" s="65">
        <v>4400400.6150000002</v>
      </c>
      <c r="M7" s="99">
        <v>5428949.415</v>
      </c>
      <c r="N7" s="109">
        <v>8.0193087595730184</v>
      </c>
      <c r="O7" s="65">
        <v>0</v>
      </c>
      <c r="P7" s="65">
        <v>0</v>
      </c>
      <c r="Q7" s="65">
        <v>0</v>
      </c>
      <c r="R7" s="65">
        <v>0</v>
      </c>
      <c r="S7" s="99">
        <v>5428949.415</v>
      </c>
      <c r="T7" s="229">
        <v>8.0193087595730184</v>
      </c>
      <c r="U7" s="660"/>
    </row>
    <row r="8" spans="2:21" x14ac:dyDescent="0.3">
      <c r="B8" s="104">
        <v>3</v>
      </c>
      <c r="C8" s="105" t="s">
        <v>228</v>
      </c>
      <c r="D8" s="97">
        <v>184</v>
      </c>
      <c r="E8" s="63">
        <v>184</v>
      </c>
      <c r="F8" s="65">
        <v>180671.25999999998</v>
      </c>
      <c r="G8" s="65">
        <v>18861025.693333339</v>
      </c>
      <c r="H8" s="106">
        <v>0.76886442008408196</v>
      </c>
      <c r="I8" s="107">
        <v>200</v>
      </c>
      <c r="J8" s="65">
        <v>50804347.330019645</v>
      </c>
      <c r="K8" s="108">
        <v>6.6</v>
      </c>
      <c r="L8" s="65">
        <v>122567989.76450001</v>
      </c>
      <c r="M8" s="99">
        <v>173372337.09451964</v>
      </c>
      <c r="N8" s="109">
        <v>9.192094847514058</v>
      </c>
      <c r="O8" s="65">
        <v>612753</v>
      </c>
      <c r="P8" s="65">
        <v>1242002.4199547968</v>
      </c>
      <c r="Q8" s="65">
        <v>5357597.5760133062</v>
      </c>
      <c r="R8" s="65">
        <v>0</v>
      </c>
      <c r="S8" s="99">
        <v>178100685.25057814</v>
      </c>
      <c r="T8" s="229">
        <v>9.4427889631437179</v>
      </c>
      <c r="U8" s="660"/>
    </row>
    <row r="9" spans="2:21" x14ac:dyDescent="0.3">
      <c r="B9" s="104">
        <v>4</v>
      </c>
      <c r="C9" s="105" t="s">
        <v>229</v>
      </c>
      <c r="D9" s="97">
        <v>2</v>
      </c>
      <c r="E9" s="63">
        <v>2</v>
      </c>
      <c r="F9" s="65">
        <v>976.79999999999984</v>
      </c>
      <c r="G9" s="65">
        <v>35609.200000000004</v>
      </c>
      <c r="H9" s="106">
        <v>1.4515990462456881E-3</v>
      </c>
      <c r="I9" s="107">
        <v>80</v>
      </c>
      <c r="J9" s="65">
        <v>72446</v>
      </c>
      <c r="K9" s="108">
        <v>6.65</v>
      </c>
      <c r="L9" s="65">
        <v>235884.20000000004</v>
      </c>
      <c r="M9" s="99">
        <v>308330.20000000007</v>
      </c>
      <c r="N9" s="109">
        <v>8.6587230266335666</v>
      </c>
      <c r="O9" s="65">
        <v>0</v>
      </c>
      <c r="P9" s="65">
        <v>0</v>
      </c>
      <c r="Q9" s="65">
        <v>0</v>
      </c>
      <c r="R9" s="65">
        <v>0</v>
      </c>
      <c r="S9" s="99">
        <v>308330.20000000007</v>
      </c>
      <c r="T9" s="229">
        <v>8.6587230266335666</v>
      </c>
      <c r="U9" s="660"/>
    </row>
    <row r="10" spans="2:21" x14ac:dyDescent="0.3">
      <c r="B10" s="104">
        <v>5</v>
      </c>
      <c r="C10" s="105" t="s">
        <v>230</v>
      </c>
      <c r="D10" s="97">
        <v>9</v>
      </c>
      <c r="E10" s="63">
        <v>9</v>
      </c>
      <c r="F10" s="65">
        <v>1730.1600000000005</v>
      </c>
      <c r="G10" s="65">
        <v>71244.399999999994</v>
      </c>
      <c r="H10" s="106">
        <v>2.9042579751959122E-3</v>
      </c>
      <c r="I10" s="107">
        <v>105</v>
      </c>
      <c r="J10" s="65">
        <v>166527.89999999997</v>
      </c>
      <c r="K10" s="108">
        <v>7.15</v>
      </c>
      <c r="L10" s="65">
        <v>500801.73</v>
      </c>
      <c r="M10" s="99">
        <v>667329.62999999989</v>
      </c>
      <c r="N10" s="109">
        <v>9.3667660896856439</v>
      </c>
      <c r="O10" s="65">
        <v>0</v>
      </c>
      <c r="P10" s="65">
        <v>0</v>
      </c>
      <c r="Q10" s="65">
        <v>0</v>
      </c>
      <c r="R10" s="65">
        <v>0</v>
      </c>
      <c r="S10" s="99">
        <v>667329.62999999989</v>
      </c>
      <c r="T10" s="229">
        <v>9.3667660896856439</v>
      </c>
      <c r="U10" s="660"/>
    </row>
    <row r="11" spans="2:21" x14ac:dyDescent="0.3">
      <c r="B11" s="104">
        <v>6</v>
      </c>
      <c r="C11" s="105" t="s">
        <v>231</v>
      </c>
      <c r="D11" s="97">
        <v>27</v>
      </c>
      <c r="E11" s="63">
        <v>27</v>
      </c>
      <c r="F11" s="65">
        <v>2958</v>
      </c>
      <c r="G11" s="65">
        <v>232772.04000000004</v>
      </c>
      <c r="H11" s="106">
        <v>9.4888868959893281E-3</v>
      </c>
      <c r="I11" s="107">
        <v>190</v>
      </c>
      <c r="J11" s="65">
        <v>544765</v>
      </c>
      <c r="K11" s="108">
        <v>8.65</v>
      </c>
      <c r="L11" s="65">
        <v>1987710.696</v>
      </c>
      <c r="M11" s="99">
        <v>2532475.696</v>
      </c>
      <c r="N11" s="109">
        <v>10.879638705748334</v>
      </c>
      <c r="O11" s="65">
        <v>0</v>
      </c>
      <c r="P11" s="65">
        <v>0</v>
      </c>
      <c r="Q11" s="65">
        <v>0</v>
      </c>
      <c r="R11" s="65">
        <v>0</v>
      </c>
      <c r="S11" s="99">
        <v>2532475.696</v>
      </c>
      <c r="T11" s="229">
        <v>10.879638705748334</v>
      </c>
      <c r="U11" s="660"/>
    </row>
    <row r="12" spans="2:21" x14ac:dyDescent="0.3">
      <c r="B12" s="104">
        <v>7</v>
      </c>
      <c r="C12" s="105" t="s">
        <v>232</v>
      </c>
      <c r="D12" s="97">
        <v>34</v>
      </c>
      <c r="E12" s="63">
        <v>34</v>
      </c>
      <c r="F12" s="65">
        <v>556.48000000000013</v>
      </c>
      <c r="G12" s="65">
        <v>32643.519999999997</v>
      </c>
      <c r="H12" s="106">
        <v>1.3307039331999044E-3</v>
      </c>
      <c r="I12" s="107">
        <v>90</v>
      </c>
      <c r="J12" s="65">
        <v>45484.999999999993</v>
      </c>
      <c r="K12" s="108">
        <v>9.25</v>
      </c>
      <c r="L12" s="65">
        <v>268100.71499999997</v>
      </c>
      <c r="M12" s="99">
        <v>313585.71499999997</v>
      </c>
      <c r="N12" s="109">
        <v>9.6063695030437888</v>
      </c>
      <c r="O12" s="65">
        <v>0</v>
      </c>
      <c r="P12" s="65">
        <v>0</v>
      </c>
      <c r="Q12" s="65">
        <v>0</v>
      </c>
      <c r="R12" s="65">
        <v>0</v>
      </c>
      <c r="S12" s="99">
        <v>313585.71499999997</v>
      </c>
      <c r="T12" s="229">
        <v>9.6063695030437888</v>
      </c>
      <c r="U12" s="660"/>
    </row>
    <row r="13" spans="2:21" x14ac:dyDescent="0.3">
      <c r="B13" s="104">
        <v>8</v>
      </c>
      <c r="C13" s="105" t="s">
        <v>233</v>
      </c>
      <c r="D13" s="97">
        <v>50</v>
      </c>
      <c r="E13" s="63">
        <v>50</v>
      </c>
      <c r="F13" s="65">
        <v>1544.9520000000005</v>
      </c>
      <c r="G13" s="65">
        <v>52618.560000000005</v>
      </c>
      <c r="H13" s="106">
        <v>2.1449808339086955E-3</v>
      </c>
      <c r="I13" s="107">
        <v>90</v>
      </c>
      <c r="J13" s="65">
        <v>128075.48000000001</v>
      </c>
      <c r="K13" s="108">
        <v>9.4</v>
      </c>
      <c r="L13" s="65">
        <v>392281.89299999998</v>
      </c>
      <c r="M13" s="99">
        <v>520357.37300000002</v>
      </c>
      <c r="N13" s="109">
        <v>9.8892362884883198</v>
      </c>
      <c r="O13" s="65">
        <v>0</v>
      </c>
      <c r="P13" s="65">
        <v>0</v>
      </c>
      <c r="Q13" s="65">
        <v>0</v>
      </c>
      <c r="R13" s="65">
        <v>0</v>
      </c>
      <c r="S13" s="99">
        <v>520357.37300000002</v>
      </c>
      <c r="T13" s="229">
        <v>9.8892362884883198</v>
      </c>
      <c r="U13" s="660"/>
    </row>
    <row r="14" spans="2:21" x14ac:dyDescent="0.3">
      <c r="B14" s="104">
        <v>9</v>
      </c>
      <c r="C14" s="105" t="s">
        <v>234</v>
      </c>
      <c r="D14" s="97">
        <v>96</v>
      </c>
      <c r="E14" s="63">
        <v>96</v>
      </c>
      <c r="F14" s="65">
        <v>26104.33</v>
      </c>
      <c r="G14" s="65">
        <v>3529534.2499999995</v>
      </c>
      <c r="H14" s="106">
        <v>0.14388047333249523</v>
      </c>
      <c r="I14" s="107">
        <v>180</v>
      </c>
      <c r="J14" s="65">
        <v>5823957.200000002</v>
      </c>
      <c r="K14" s="108">
        <v>9.25</v>
      </c>
      <c r="L14" s="65">
        <v>32579248.345499996</v>
      </c>
      <c r="M14" s="99">
        <v>38403205.545499995</v>
      </c>
      <c r="N14" s="109">
        <v>10.880530638142979</v>
      </c>
      <c r="O14" s="65">
        <v>0</v>
      </c>
      <c r="P14" s="65">
        <v>0</v>
      </c>
      <c r="Q14" s="65">
        <v>0</v>
      </c>
      <c r="R14" s="65">
        <v>0</v>
      </c>
      <c r="S14" s="99">
        <v>38403205.545499995</v>
      </c>
      <c r="T14" s="229">
        <v>10.880530638142979</v>
      </c>
      <c r="U14" s="660"/>
    </row>
    <row r="15" spans="2:21" x14ac:dyDescent="0.3">
      <c r="B15" s="104">
        <v>10</v>
      </c>
      <c r="C15" s="105" t="s">
        <v>235</v>
      </c>
      <c r="D15" s="97">
        <v>44</v>
      </c>
      <c r="E15" s="63">
        <v>44</v>
      </c>
      <c r="F15" s="65">
        <v>7504.9559999999974</v>
      </c>
      <c r="G15" s="65">
        <v>326311.13000000006</v>
      </c>
      <c r="H15" s="106">
        <v>1.3301981653262438E-2</v>
      </c>
      <c r="I15" s="107">
        <v>175</v>
      </c>
      <c r="J15" s="65">
        <v>1157576.4000000001</v>
      </c>
      <c r="K15" s="108">
        <v>9.4</v>
      </c>
      <c r="L15" s="65">
        <v>3000537.4370000004</v>
      </c>
      <c r="M15" s="99">
        <v>4158113.8370000003</v>
      </c>
      <c r="N15" s="109">
        <v>12.742788874532105</v>
      </c>
      <c r="O15" s="65">
        <v>0</v>
      </c>
      <c r="P15" s="65">
        <v>0</v>
      </c>
      <c r="Q15" s="65">
        <v>0</v>
      </c>
      <c r="R15" s="65">
        <v>0</v>
      </c>
      <c r="S15" s="99">
        <v>4158113.8370000003</v>
      </c>
      <c r="T15" s="229">
        <v>12.742788874532105</v>
      </c>
      <c r="U15" s="660"/>
    </row>
    <row r="16" spans="2:21" x14ac:dyDescent="0.3">
      <c r="B16" s="104">
        <v>11</v>
      </c>
      <c r="C16" s="105" t="s">
        <v>236</v>
      </c>
      <c r="D16" s="97">
        <v>11</v>
      </c>
      <c r="E16" s="63">
        <v>11</v>
      </c>
      <c r="F16" s="65">
        <v>127.19999999999997</v>
      </c>
      <c r="G16" s="65">
        <v>3685</v>
      </c>
      <c r="H16" s="106">
        <v>1.5021799100837312E-4</v>
      </c>
      <c r="I16" s="107">
        <v>60</v>
      </c>
      <c r="J16" s="65">
        <v>6500</v>
      </c>
      <c r="K16" s="108">
        <v>6.7</v>
      </c>
      <c r="L16" s="65">
        <v>21257.100000000002</v>
      </c>
      <c r="M16" s="99">
        <v>27757.100000000002</v>
      </c>
      <c r="N16" s="109">
        <v>7.5324559023066495</v>
      </c>
      <c r="O16" s="65">
        <v>0</v>
      </c>
      <c r="P16" s="65">
        <v>0</v>
      </c>
      <c r="Q16" s="65">
        <v>0</v>
      </c>
      <c r="R16" s="65">
        <v>0</v>
      </c>
      <c r="S16" s="99">
        <v>27757.100000000002</v>
      </c>
      <c r="T16" s="229">
        <v>7.5324559023066495</v>
      </c>
      <c r="U16" s="660"/>
    </row>
    <row r="17" spans="2:21" x14ac:dyDescent="0.3">
      <c r="B17" s="104">
        <v>12</v>
      </c>
      <c r="C17" s="105" t="s">
        <v>237</v>
      </c>
      <c r="D17" s="97">
        <v>1</v>
      </c>
      <c r="E17" s="63">
        <v>1</v>
      </c>
      <c r="F17" s="65">
        <v>26.88000000000001</v>
      </c>
      <c r="G17" s="65">
        <v>623</v>
      </c>
      <c r="H17" s="106">
        <v>2.5396420189475295E-5</v>
      </c>
      <c r="I17" s="107">
        <v>140</v>
      </c>
      <c r="J17" s="65">
        <v>1540</v>
      </c>
      <c r="K17" s="108">
        <v>5.8</v>
      </c>
      <c r="L17" s="65">
        <v>3613.3999999999992</v>
      </c>
      <c r="M17" s="99">
        <v>5153.3999999999996</v>
      </c>
      <c r="N17" s="109">
        <v>8.2719101123595493</v>
      </c>
      <c r="O17" s="65">
        <v>0</v>
      </c>
      <c r="P17" s="65">
        <v>0</v>
      </c>
      <c r="Q17" s="65">
        <v>0</v>
      </c>
      <c r="R17" s="65">
        <v>0</v>
      </c>
      <c r="S17" s="99">
        <v>5153.3999999999996</v>
      </c>
      <c r="T17" s="229">
        <v>8.2719101123595493</v>
      </c>
      <c r="U17" s="660"/>
    </row>
    <row r="18" spans="2:21" x14ac:dyDescent="0.3">
      <c r="B18" s="104">
        <v>13</v>
      </c>
      <c r="C18" s="105" t="s">
        <v>238</v>
      </c>
      <c r="D18" s="97">
        <v>2</v>
      </c>
      <c r="E18" s="63">
        <v>2</v>
      </c>
      <c r="F18" s="65">
        <v>368.39999999999992</v>
      </c>
      <c r="G18" s="65">
        <v>34814.999999999993</v>
      </c>
      <c r="H18" s="106">
        <v>1.4192237060940323E-3</v>
      </c>
      <c r="I18" s="107">
        <v>85</v>
      </c>
      <c r="J18" s="65">
        <v>30239.5</v>
      </c>
      <c r="K18" s="108">
        <v>5.8</v>
      </c>
      <c r="L18" s="65">
        <v>201926.99999999997</v>
      </c>
      <c r="M18" s="99">
        <v>232166.49999999997</v>
      </c>
      <c r="N18" s="109">
        <v>6.6685767628895594</v>
      </c>
      <c r="O18" s="65">
        <v>0</v>
      </c>
      <c r="P18" s="65">
        <v>0</v>
      </c>
      <c r="Q18" s="65">
        <v>8243.52125756639</v>
      </c>
      <c r="R18" s="65">
        <v>0</v>
      </c>
      <c r="S18" s="99">
        <v>240410.02125756635</v>
      </c>
      <c r="T18" s="229">
        <v>6.9053574969859657</v>
      </c>
      <c r="U18" s="660"/>
    </row>
    <row r="19" spans="2:21" x14ac:dyDescent="0.3">
      <c r="B19" s="104">
        <v>14</v>
      </c>
      <c r="C19" s="105" t="s">
        <v>239</v>
      </c>
      <c r="D19" s="97">
        <v>2</v>
      </c>
      <c r="E19" s="63">
        <v>2</v>
      </c>
      <c r="F19" s="65">
        <v>1644</v>
      </c>
      <c r="G19" s="65">
        <v>233244.39999999994</v>
      </c>
      <c r="H19" s="106">
        <v>9.5081425188475923E-3</v>
      </c>
      <c r="I19" s="107">
        <v>200</v>
      </c>
      <c r="J19" s="65">
        <v>537964.5</v>
      </c>
      <c r="K19" s="108">
        <v>5.85</v>
      </c>
      <c r="L19" s="65">
        <v>1378514.1824999996</v>
      </c>
      <c r="M19" s="99">
        <v>1916478.6824999996</v>
      </c>
      <c r="N19" s="109">
        <v>8.2166117707434783</v>
      </c>
      <c r="O19" s="65">
        <v>6144.75</v>
      </c>
      <c r="P19" s="65">
        <v>0</v>
      </c>
      <c r="Q19" s="65">
        <v>109806.93641396245</v>
      </c>
      <c r="R19" s="65">
        <v>0</v>
      </c>
      <c r="S19" s="99">
        <v>2032430.368913962</v>
      </c>
      <c r="T19" s="229">
        <v>8.7137370454080045</v>
      </c>
      <c r="U19" s="660"/>
    </row>
    <row r="20" spans="2:21" x14ac:dyDescent="0.3">
      <c r="B20" s="104">
        <v>15</v>
      </c>
      <c r="C20" s="105" t="s">
        <v>294</v>
      </c>
      <c r="D20" s="97">
        <v>1</v>
      </c>
      <c r="E20" s="63">
        <v>1</v>
      </c>
      <c r="F20" s="65">
        <v>175.67999999999995</v>
      </c>
      <c r="G20" s="65">
        <v>5400</v>
      </c>
      <c r="H20" s="111">
        <v>2.2012948478838937E-4</v>
      </c>
      <c r="I20" s="107">
        <v>165</v>
      </c>
      <c r="J20" s="65">
        <v>10980</v>
      </c>
      <c r="K20" s="108">
        <v>8.6</v>
      </c>
      <c r="L20" s="65">
        <v>46440</v>
      </c>
      <c r="M20" s="99">
        <v>57420</v>
      </c>
      <c r="N20" s="109">
        <v>10.633333333333333</v>
      </c>
      <c r="O20" s="65">
        <v>0</v>
      </c>
      <c r="P20" s="65">
        <v>0</v>
      </c>
      <c r="Q20" s="65">
        <v>0</v>
      </c>
      <c r="R20" s="65">
        <v>0</v>
      </c>
      <c r="S20" s="99">
        <v>57420</v>
      </c>
      <c r="T20" s="229">
        <v>10.633333333333333</v>
      </c>
      <c r="U20" s="660"/>
    </row>
    <row r="21" spans="2:21" x14ac:dyDescent="0.3">
      <c r="B21" s="104">
        <v>16</v>
      </c>
      <c r="C21" s="105" t="s">
        <v>453</v>
      </c>
      <c r="D21" s="97">
        <v>1</v>
      </c>
      <c r="E21" s="63">
        <v>1</v>
      </c>
      <c r="F21" s="65">
        <v>12</v>
      </c>
      <c r="G21" s="65">
        <v>777</v>
      </c>
      <c r="H21" s="111">
        <v>3.1674186977884919E-5</v>
      </c>
      <c r="I21" s="107">
        <v>700</v>
      </c>
      <c r="J21" s="65">
        <v>8400</v>
      </c>
      <c r="K21" s="108">
        <v>12.5</v>
      </c>
      <c r="L21" s="65">
        <v>9712.5</v>
      </c>
      <c r="M21" s="99">
        <v>18112.5</v>
      </c>
      <c r="N21" s="109">
        <v>23.310810810810811</v>
      </c>
      <c r="O21" s="65">
        <v>0</v>
      </c>
      <c r="P21" s="65">
        <v>0</v>
      </c>
      <c r="Q21" s="65">
        <v>0</v>
      </c>
      <c r="R21" s="65">
        <v>0</v>
      </c>
      <c r="S21" s="99">
        <v>18112.5</v>
      </c>
      <c r="T21" s="229">
        <v>23.310810810810811</v>
      </c>
      <c r="U21" s="660"/>
    </row>
    <row r="22" spans="2:21" x14ac:dyDescent="0.3">
      <c r="B22" s="104">
        <v>17</v>
      </c>
      <c r="C22" s="105" t="s">
        <v>550</v>
      </c>
      <c r="D22" s="97">
        <v>1</v>
      </c>
      <c r="E22" s="63">
        <v>1</v>
      </c>
      <c r="F22" s="65">
        <v>360</v>
      </c>
      <c r="G22" s="65">
        <v>24734.570000000003</v>
      </c>
      <c r="H22" s="111">
        <v>1.008297805659695E-3</v>
      </c>
      <c r="I22" s="107">
        <v>100</v>
      </c>
      <c r="J22" s="65">
        <v>34400</v>
      </c>
      <c r="K22" s="108">
        <v>5.5</v>
      </c>
      <c r="L22" s="65">
        <v>136040.13499999998</v>
      </c>
      <c r="M22" s="99">
        <v>170440.13499999998</v>
      </c>
      <c r="N22" s="109">
        <v>6.8907660412127623</v>
      </c>
      <c r="O22" s="65">
        <v>0</v>
      </c>
      <c r="P22" s="65">
        <v>0</v>
      </c>
      <c r="Q22" s="65">
        <v>0</v>
      </c>
      <c r="R22" s="65">
        <v>0</v>
      </c>
      <c r="S22" s="99">
        <v>170440.13499999998</v>
      </c>
      <c r="T22" s="229">
        <v>6.8907660412127623</v>
      </c>
      <c r="U22" s="660"/>
    </row>
    <row r="23" spans="2:21" x14ac:dyDescent="0.3">
      <c r="B23" s="104">
        <v>18</v>
      </c>
      <c r="C23" s="105" t="s">
        <v>214</v>
      </c>
      <c r="D23" s="97">
        <v>1</v>
      </c>
      <c r="E23" s="63">
        <v>1</v>
      </c>
      <c r="F23" s="28">
        <v>2400</v>
      </c>
      <c r="G23" s="28">
        <v>173275.23000000004</v>
      </c>
      <c r="H23" s="106">
        <v>7.0635161308314227E-3</v>
      </c>
      <c r="I23" s="107">
        <v>200</v>
      </c>
      <c r="J23" s="28">
        <v>480000</v>
      </c>
      <c r="K23" s="108">
        <v>6.6</v>
      </c>
      <c r="L23" s="28">
        <v>1143616</v>
      </c>
      <c r="M23" s="99">
        <v>1623616</v>
      </c>
      <c r="N23" s="109">
        <v>9.3701563691475087</v>
      </c>
      <c r="O23" s="28">
        <v>0</v>
      </c>
      <c r="P23" s="65">
        <v>0</v>
      </c>
      <c r="Q23" s="65">
        <v>0</v>
      </c>
      <c r="R23" s="65">
        <v>0</v>
      </c>
      <c r="S23" s="99">
        <v>1623616</v>
      </c>
      <c r="T23" s="229">
        <v>9.3701563691475087</v>
      </c>
      <c r="U23" s="660"/>
    </row>
    <row r="24" spans="2:21" ht="16.2" thickBot="1" x14ac:dyDescent="0.35">
      <c r="B24" s="112">
        <v>19</v>
      </c>
      <c r="C24" s="113" t="s">
        <v>53</v>
      </c>
      <c r="D24" s="97">
        <v>14</v>
      </c>
      <c r="E24" s="63">
        <v>14</v>
      </c>
      <c r="F24" s="65">
        <v>828</v>
      </c>
      <c r="G24" s="65">
        <v>107531.70000000004</v>
      </c>
      <c r="H24" s="114">
        <v>4.3834995776703073E-3</v>
      </c>
      <c r="I24" s="115">
        <v>90</v>
      </c>
      <c r="J24" s="65">
        <v>13650</v>
      </c>
      <c r="K24" s="116">
        <v>4.8</v>
      </c>
      <c r="L24" s="65">
        <v>509402.13000000024</v>
      </c>
      <c r="M24" s="99">
        <v>523052.13000000024</v>
      </c>
      <c r="N24" s="117">
        <v>4.8641668456836449</v>
      </c>
      <c r="O24" s="65">
        <v>0</v>
      </c>
      <c r="P24" s="65">
        <v>0</v>
      </c>
      <c r="Q24" s="65">
        <v>0</v>
      </c>
      <c r="R24" s="65">
        <v>0</v>
      </c>
      <c r="S24" s="99">
        <v>523052.13000000024</v>
      </c>
      <c r="T24" s="231">
        <v>4.8641668456836449</v>
      </c>
      <c r="U24" s="660"/>
    </row>
    <row r="25" spans="2:21" ht="16.2" thickBot="1" x14ac:dyDescent="0.35">
      <c r="B25" s="119">
        <v>20</v>
      </c>
      <c r="C25" s="120" t="s">
        <v>305</v>
      </c>
      <c r="D25" s="120">
        <v>569</v>
      </c>
      <c r="E25" s="120">
        <v>569</v>
      </c>
      <c r="F25" s="232">
        <v>240234.85</v>
      </c>
      <c r="G25" s="232">
        <v>24531016.393333331</v>
      </c>
      <c r="H25" s="122">
        <v>1</v>
      </c>
      <c r="I25" s="123"/>
      <c r="J25" s="124">
        <v>61010903.110019639</v>
      </c>
      <c r="K25" s="121"/>
      <c r="L25" s="124">
        <v>170216693.27850002</v>
      </c>
      <c r="M25" s="124">
        <v>231227596.38851964</v>
      </c>
      <c r="N25" s="125">
        <v>9.4259280855300887</v>
      </c>
      <c r="O25" s="124">
        <v>618897.75</v>
      </c>
      <c r="P25" s="124">
        <v>1242002.4199547968</v>
      </c>
      <c r="Q25" s="124">
        <v>5475648.0336848348</v>
      </c>
      <c r="R25" s="124">
        <v>0</v>
      </c>
      <c r="S25" s="124">
        <v>236080139.75224966</v>
      </c>
      <c r="T25" s="233">
        <v>9.6237406541543855</v>
      </c>
      <c r="U25" s="76"/>
    </row>
    <row r="26" spans="2:21" x14ac:dyDescent="0.3">
      <c r="B26" s="96">
        <v>21</v>
      </c>
      <c r="C26" s="63" t="s">
        <v>309</v>
      </c>
      <c r="D26" s="63">
        <v>13</v>
      </c>
      <c r="E26" s="63">
        <v>13</v>
      </c>
      <c r="F26" s="65">
        <v>105861.11999999998</v>
      </c>
      <c r="G26" s="65">
        <v>18918601.489999998</v>
      </c>
      <c r="H26" s="98">
        <v>0.96778520535701817</v>
      </c>
      <c r="I26" s="97">
        <v>410</v>
      </c>
      <c r="J26" s="65">
        <v>34209108.5</v>
      </c>
      <c r="K26" s="100">
        <v>6.6</v>
      </c>
      <c r="L26" s="65">
        <v>126836523.759</v>
      </c>
      <c r="M26" s="99">
        <v>161045632.259</v>
      </c>
      <c r="N26" s="101">
        <v>8.5125548177610053</v>
      </c>
      <c r="O26" s="65">
        <v>99429.10000000002</v>
      </c>
      <c r="P26" s="65">
        <v>1994802.9656731533</v>
      </c>
      <c r="Q26" s="65">
        <v>128636.0127594622</v>
      </c>
      <c r="R26" s="65">
        <v>730094.75</v>
      </c>
      <c r="S26" s="99">
        <v>160008989.15608633</v>
      </c>
      <c r="T26" s="67">
        <v>8.4577599058082562</v>
      </c>
    </row>
    <row r="27" spans="2:21" x14ac:dyDescent="0.3">
      <c r="B27" s="104">
        <v>22</v>
      </c>
      <c r="C27" s="105" t="s">
        <v>308</v>
      </c>
      <c r="D27" s="63">
        <v>1</v>
      </c>
      <c r="E27" s="63">
        <v>1</v>
      </c>
      <c r="F27" s="65">
        <v>1500</v>
      </c>
      <c r="G27" s="65">
        <v>130875</v>
      </c>
      <c r="H27" s="106">
        <v>6.6949393071178732E-3</v>
      </c>
      <c r="I27" s="107">
        <v>440</v>
      </c>
      <c r="J27" s="65">
        <v>481875</v>
      </c>
      <c r="K27" s="108">
        <v>6.05</v>
      </c>
      <c r="L27" s="65">
        <v>780485.39999999991</v>
      </c>
      <c r="M27" s="99">
        <v>1262360.3999999999</v>
      </c>
      <c r="N27" s="109">
        <v>9.645542693409741</v>
      </c>
      <c r="O27" s="65">
        <v>0</v>
      </c>
      <c r="P27" s="65">
        <v>16613.892992415378</v>
      </c>
      <c r="Q27" s="65">
        <v>0</v>
      </c>
      <c r="R27" s="65">
        <v>0</v>
      </c>
      <c r="S27" s="99">
        <v>1245746.5070075844</v>
      </c>
      <c r="T27" s="229">
        <v>9.5185979523024606</v>
      </c>
    </row>
    <row r="28" spans="2:21" x14ac:dyDescent="0.3">
      <c r="B28" s="96">
        <v>23</v>
      </c>
      <c r="C28" s="113" t="s">
        <v>451</v>
      </c>
      <c r="D28" s="63">
        <v>1</v>
      </c>
      <c r="E28" s="63">
        <v>1</v>
      </c>
      <c r="F28" s="65">
        <v>360</v>
      </c>
      <c r="G28" s="65">
        <v>53794</v>
      </c>
      <c r="H28" s="106">
        <v>2.751843859309256E-3</v>
      </c>
      <c r="I28" s="115">
        <v>525</v>
      </c>
      <c r="J28" s="65">
        <v>297142</v>
      </c>
      <c r="K28" s="116">
        <v>7.8</v>
      </c>
      <c r="L28" s="65">
        <v>365911.39999999997</v>
      </c>
      <c r="M28" s="99">
        <v>663053.39999999991</v>
      </c>
      <c r="N28" s="109">
        <v>12.325787262519983</v>
      </c>
      <c r="O28" s="65">
        <v>56696</v>
      </c>
      <c r="P28" s="65">
        <v>8744.7827714285941</v>
      </c>
      <c r="Q28" s="65">
        <v>0</v>
      </c>
      <c r="R28" s="65">
        <v>0</v>
      </c>
      <c r="S28" s="99">
        <v>711004.61722857133</v>
      </c>
      <c r="T28" s="229">
        <v>13.217173239182275</v>
      </c>
    </row>
    <row r="29" spans="2:21" ht="16.2" thickBot="1" x14ac:dyDescent="0.35">
      <c r="B29" s="104">
        <v>24</v>
      </c>
      <c r="C29" s="113" t="s">
        <v>54</v>
      </c>
      <c r="D29" s="63">
        <v>1</v>
      </c>
      <c r="E29" s="63">
        <v>1</v>
      </c>
      <c r="F29" s="65">
        <v>2400</v>
      </c>
      <c r="G29" s="65">
        <v>445077</v>
      </c>
      <c r="H29" s="114">
        <v>2.2768011476554741E-2</v>
      </c>
      <c r="I29" s="115">
        <v>500</v>
      </c>
      <c r="J29" s="65">
        <v>889500</v>
      </c>
      <c r="K29" s="116">
        <v>7.9</v>
      </c>
      <c r="L29" s="65">
        <v>3526925.4750000006</v>
      </c>
      <c r="M29" s="99">
        <v>4416425.4750000006</v>
      </c>
      <c r="N29" s="117">
        <v>9.9228346443424407</v>
      </c>
      <c r="O29" s="65">
        <v>0</v>
      </c>
      <c r="P29" s="65">
        <v>43540.578765301783</v>
      </c>
      <c r="Q29" s="65">
        <v>0</v>
      </c>
      <c r="R29" s="65">
        <v>0</v>
      </c>
      <c r="S29" s="99">
        <v>4372884.8962346986</v>
      </c>
      <c r="T29" s="231">
        <v>9.8250075744976684</v>
      </c>
    </row>
    <row r="30" spans="2:21" x14ac:dyDescent="0.3">
      <c r="B30" s="128">
        <v>25</v>
      </c>
      <c r="C30" s="129" t="s">
        <v>306</v>
      </c>
      <c r="D30" s="129">
        <v>16</v>
      </c>
      <c r="E30" s="129">
        <v>16</v>
      </c>
      <c r="F30" s="234">
        <v>110121.11999999998</v>
      </c>
      <c r="G30" s="234">
        <v>19548347.489999998</v>
      </c>
      <c r="H30" s="131">
        <v>1</v>
      </c>
      <c r="I30" s="130"/>
      <c r="J30" s="132">
        <v>35877625.5</v>
      </c>
      <c r="K30" s="130"/>
      <c r="L30" s="132">
        <v>131509846.03400001</v>
      </c>
      <c r="M30" s="132">
        <v>167387471.53400001</v>
      </c>
      <c r="N30" s="133">
        <v>8.5627427903881621</v>
      </c>
      <c r="O30" s="132">
        <v>156125.10000000003</v>
      </c>
      <c r="P30" s="132">
        <v>2063702.2202022991</v>
      </c>
      <c r="Q30" s="132">
        <v>128636.0127594622</v>
      </c>
      <c r="R30" s="132">
        <v>730094.75</v>
      </c>
      <c r="S30" s="132">
        <v>166338625.17655718</v>
      </c>
      <c r="T30" s="235">
        <v>8.5090888251115899</v>
      </c>
      <c r="U30" s="660"/>
    </row>
    <row r="31" spans="2:21" ht="16.2" thickBot="1" x14ac:dyDescent="0.35">
      <c r="B31" s="135">
        <v>26</v>
      </c>
      <c r="C31" s="136" t="s">
        <v>267</v>
      </c>
      <c r="D31" s="136">
        <v>585</v>
      </c>
      <c r="E31" s="136">
        <v>585</v>
      </c>
      <c r="F31" s="236">
        <v>350355.97</v>
      </c>
      <c r="G31" s="236">
        <v>44079363.883333325</v>
      </c>
      <c r="H31" s="136"/>
      <c r="I31" s="136"/>
      <c r="J31" s="137">
        <v>96888528.610019639</v>
      </c>
      <c r="K31" s="136"/>
      <c r="L31" s="137">
        <v>301726539.3125</v>
      </c>
      <c r="M31" s="137">
        <v>398615067.92251968</v>
      </c>
      <c r="N31" s="136">
        <v>9.0431220599632667</v>
      </c>
      <c r="O31" s="137">
        <v>775022.85000000009</v>
      </c>
      <c r="P31" s="137">
        <v>3305704.6401570961</v>
      </c>
      <c r="Q31" s="137">
        <v>5604284.0464442968</v>
      </c>
      <c r="R31" s="137">
        <v>730094.75</v>
      </c>
      <c r="S31" s="137">
        <v>402418764.92880684</v>
      </c>
      <c r="T31" s="237">
        <v>9.1294140721700341</v>
      </c>
      <c r="U31" s="660"/>
    </row>
    <row r="32" spans="2:21" x14ac:dyDescent="0.3">
      <c r="B32" s="96">
        <v>27</v>
      </c>
      <c r="C32" s="63" t="s">
        <v>24</v>
      </c>
      <c r="D32" s="63"/>
      <c r="E32" s="63"/>
      <c r="F32" s="97"/>
      <c r="G32" s="97"/>
      <c r="H32" s="97"/>
      <c r="I32" s="97"/>
      <c r="J32" s="97"/>
      <c r="K32" s="97"/>
      <c r="L32" s="97"/>
      <c r="M32" s="97"/>
      <c r="N32" s="101"/>
      <c r="O32" s="99"/>
      <c r="P32" s="99"/>
      <c r="Q32" s="99"/>
      <c r="R32" s="99"/>
      <c r="S32" s="140">
        <v>24929472.8192752</v>
      </c>
      <c r="T32" s="102"/>
      <c r="U32" s="660"/>
    </row>
    <row r="33" spans="2:21" x14ac:dyDescent="0.3">
      <c r="B33" s="104">
        <v>28</v>
      </c>
      <c r="C33" s="105" t="s">
        <v>25</v>
      </c>
      <c r="D33" s="105"/>
      <c r="E33" s="105"/>
      <c r="F33" s="107"/>
      <c r="G33" s="107"/>
      <c r="H33" s="107"/>
      <c r="I33" s="107"/>
      <c r="J33" s="107"/>
      <c r="K33" s="107"/>
      <c r="L33" s="107"/>
      <c r="M33" s="107"/>
      <c r="N33" s="107"/>
      <c r="O33" s="139"/>
      <c r="P33" s="139"/>
      <c r="Q33" s="139"/>
      <c r="R33" s="139"/>
      <c r="S33" s="139">
        <v>427348237.74808204</v>
      </c>
      <c r="T33" s="110"/>
      <c r="U33" s="660"/>
    </row>
    <row r="34" spans="2:21" ht="16.2" thickBot="1" x14ac:dyDescent="0.35">
      <c r="B34" s="112">
        <v>29</v>
      </c>
      <c r="C34" s="113" t="s">
        <v>468</v>
      </c>
      <c r="D34" s="113"/>
      <c r="E34" s="113"/>
      <c r="F34" s="115"/>
      <c r="G34" s="115"/>
      <c r="H34" s="115"/>
      <c r="I34" s="115"/>
      <c r="J34" s="115"/>
      <c r="K34" s="115"/>
      <c r="L34" s="115"/>
      <c r="M34" s="115"/>
      <c r="N34" s="115"/>
      <c r="O34" s="140"/>
      <c r="P34" s="140"/>
      <c r="Q34" s="140"/>
      <c r="R34" s="140"/>
      <c r="S34" s="140">
        <v>25422665.785284802</v>
      </c>
      <c r="T34" s="118"/>
      <c r="U34" s="660"/>
    </row>
    <row r="35" spans="2:21" ht="16.2" thickBot="1" x14ac:dyDescent="0.35">
      <c r="B35" s="119">
        <v>30</v>
      </c>
      <c r="C35" s="120" t="s">
        <v>307</v>
      </c>
      <c r="D35" s="120"/>
      <c r="E35" s="120"/>
      <c r="F35" s="121"/>
      <c r="G35" s="121"/>
      <c r="H35" s="121"/>
      <c r="I35" s="121"/>
      <c r="J35" s="121"/>
      <c r="K35" s="121"/>
      <c r="L35" s="121"/>
      <c r="M35" s="121"/>
      <c r="N35" s="121"/>
      <c r="O35" s="124"/>
      <c r="P35" s="124"/>
      <c r="Q35" s="124"/>
      <c r="R35" s="124"/>
      <c r="S35" s="124">
        <v>401925571.96279722</v>
      </c>
      <c r="T35" s="126"/>
      <c r="U35" s="660"/>
    </row>
    <row r="36" spans="2:21" x14ac:dyDescent="0.3">
      <c r="U36" s="660"/>
    </row>
    <row r="37" spans="2:21" ht="16.2" hidden="1" thickBot="1" x14ac:dyDescent="0.35">
      <c r="Q37" s="143"/>
      <c r="R37" s="144"/>
      <c r="S37" s="145"/>
    </row>
    <row r="38" spans="2:21" x14ac:dyDescent="0.3">
      <c r="Q38" s="146"/>
      <c r="R38" s="146"/>
      <c r="S38" s="147"/>
    </row>
    <row r="39" spans="2:21" x14ac:dyDescent="0.3">
      <c r="Q39" s="146"/>
      <c r="R39" s="146"/>
      <c r="S39" s="147"/>
    </row>
    <row r="40" spans="2:21" x14ac:dyDescent="0.3">
      <c r="M40" s="148"/>
      <c r="S40" s="147"/>
    </row>
    <row r="41" spans="2:21" x14ac:dyDescent="0.3">
      <c r="B41" s="72"/>
      <c r="G41" s="1"/>
      <c r="H41" s="1"/>
      <c r="I41" s="1"/>
      <c r="J41" s="1"/>
      <c r="K41" s="1"/>
      <c r="L41" s="1"/>
      <c r="M41" s="74"/>
      <c r="S41" s="147"/>
    </row>
    <row r="42" spans="2:21" x14ac:dyDescent="0.3">
      <c r="B42" s="72"/>
      <c r="G42" s="1"/>
      <c r="H42" s="1"/>
      <c r="I42" s="1"/>
      <c r="J42" s="1"/>
      <c r="K42" s="1"/>
      <c r="L42" s="1"/>
      <c r="M42" s="75"/>
      <c r="S42" s="147"/>
    </row>
    <row r="43" spans="2:21" x14ac:dyDescent="0.3">
      <c r="F43" s="76"/>
      <c r="G43" s="1"/>
      <c r="H43" s="1"/>
      <c r="I43" s="1"/>
      <c r="J43" s="1"/>
      <c r="K43" s="1"/>
      <c r="L43" s="1"/>
      <c r="S43" s="147"/>
    </row>
    <row r="44" spans="2:21" x14ac:dyDescent="0.3">
      <c r="F44" s="76"/>
      <c r="G44" s="1"/>
      <c r="H44" s="1"/>
      <c r="I44" s="1"/>
      <c r="J44" s="1"/>
      <c r="K44" s="1"/>
      <c r="L44" s="1"/>
      <c r="S44" s="147"/>
    </row>
    <row r="45" spans="2:21" x14ac:dyDescent="0.3">
      <c r="F45" s="76"/>
      <c r="G45" s="1"/>
      <c r="H45" s="1"/>
      <c r="I45" s="1"/>
      <c r="J45" s="1"/>
      <c r="K45" s="1"/>
      <c r="L45" s="1"/>
      <c r="S45" s="147"/>
    </row>
    <row r="46" spans="2:21" x14ac:dyDescent="0.3">
      <c r="G46" s="1"/>
      <c r="H46" s="1"/>
      <c r="I46" s="1"/>
      <c r="J46" s="1"/>
      <c r="K46" s="1"/>
      <c r="L46" s="1"/>
      <c r="S46" s="147"/>
    </row>
    <row r="47" spans="2:21" x14ac:dyDescent="0.3">
      <c r="B47" s="84"/>
      <c r="C47" s="77"/>
      <c r="D47" s="78"/>
      <c r="G47" s="1"/>
      <c r="H47" s="1"/>
      <c r="I47" s="1"/>
      <c r="J47" s="1"/>
      <c r="K47" s="1"/>
      <c r="L47" s="1"/>
      <c r="M47" s="79"/>
    </row>
    <row r="48" spans="2:21" x14ac:dyDescent="0.3">
      <c r="B48" s="84"/>
      <c r="C48" s="80"/>
      <c r="D48" s="78"/>
      <c r="F48" s="81"/>
      <c r="G48" s="1"/>
      <c r="H48" s="1"/>
      <c r="I48" s="1"/>
      <c r="J48" s="1"/>
      <c r="K48" s="1"/>
      <c r="L48" s="1"/>
      <c r="M48" s="79"/>
    </row>
    <row r="49" spans="2:13" x14ac:dyDescent="0.3">
      <c r="B49" s="82"/>
      <c r="C49" s="82"/>
      <c r="D49" s="82"/>
      <c r="E49" s="82"/>
      <c r="H49" s="1"/>
      <c r="I49" s="1"/>
      <c r="J49" s="1"/>
      <c r="K49" s="1"/>
      <c r="L49" s="1"/>
      <c r="M49" s="1"/>
    </row>
    <row r="50" spans="2:13" x14ac:dyDescent="0.3">
      <c r="B50" s="82"/>
      <c r="C50" s="82"/>
      <c r="D50" s="82"/>
      <c r="F50" s="79"/>
      <c r="H50" s="1"/>
      <c r="I50" s="1"/>
      <c r="J50" s="1"/>
      <c r="K50" s="1"/>
      <c r="L50" s="1"/>
      <c r="M50" s="1"/>
    </row>
    <row r="51" spans="2:13" x14ac:dyDescent="0.3">
      <c r="C51" s="82"/>
      <c r="D51" s="82"/>
      <c r="F51" s="83"/>
      <c r="H51" s="1"/>
      <c r="I51" s="1"/>
      <c r="J51" s="1"/>
      <c r="K51" s="1"/>
      <c r="L51" s="1"/>
      <c r="M51" s="1"/>
    </row>
    <row r="52" spans="2:13" x14ac:dyDescent="0.3">
      <c r="C52" s="82"/>
      <c r="D52" s="82"/>
      <c r="E52" s="85"/>
      <c r="F52" s="83"/>
      <c r="H52" s="1"/>
      <c r="I52" s="1"/>
      <c r="J52" s="1"/>
      <c r="K52" s="1"/>
      <c r="L52" s="1"/>
      <c r="M52" s="1"/>
    </row>
    <row r="53" spans="2:13" x14ac:dyDescent="0.3">
      <c r="C53" s="82"/>
      <c r="D53" s="82"/>
      <c r="E53" s="82"/>
      <c r="F53" s="86"/>
      <c r="H53" s="1"/>
      <c r="I53" s="1"/>
      <c r="J53" s="1"/>
      <c r="K53" s="1"/>
      <c r="L53" s="1"/>
      <c r="M53" s="1"/>
    </row>
  </sheetData>
  <mergeCells count="2">
    <mergeCell ref="B2:T2"/>
    <mergeCell ref="B3:T3"/>
  </mergeCells>
  <printOptions horizontalCentered="1" verticalCentered="1"/>
  <pageMargins left="0.7" right="0.7" top="0.75" bottom="0.75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00000"/>
    <pageSetUpPr fitToPage="1"/>
  </sheetPr>
  <dimension ref="B1:U53"/>
  <sheetViews>
    <sheetView view="pageBreakPreview" topLeftCell="A13" zoomScale="60" zoomScaleNormal="70" workbookViewId="0">
      <selection activeCell="A36" sqref="A36:XFD48"/>
    </sheetView>
  </sheetViews>
  <sheetFormatPr defaultColWidth="9.109375" defaultRowHeight="13.8" x14ac:dyDescent="0.25"/>
  <cols>
    <col min="1" max="2" width="9.109375" style="1"/>
    <col min="3" max="3" width="48.109375" style="1" bestFit="1" customWidth="1"/>
    <col min="4" max="4" width="5" style="1" bestFit="1" customWidth="1"/>
    <col min="5" max="5" width="7.21875" style="1" bestFit="1" customWidth="1"/>
    <col min="6" max="6" width="10.77734375" style="1" customWidth="1"/>
    <col min="7" max="7" width="14.88671875" style="1" bestFit="1" customWidth="1"/>
    <col min="8" max="8" width="10" style="1" bestFit="1" customWidth="1"/>
    <col min="9" max="9" width="8.88671875" style="1" bestFit="1" customWidth="1"/>
    <col min="10" max="10" width="14.77734375" style="1" bestFit="1" customWidth="1"/>
    <col min="11" max="11" width="11.33203125" style="1" bestFit="1" customWidth="1"/>
    <col min="12" max="13" width="16" style="1" bestFit="1" customWidth="1"/>
    <col min="14" max="14" width="15" style="1" bestFit="1" customWidth="1"/>
    <col min="15" max="15" width="10.44140625" style="1" customWidth="1"/>
    <col min="16" max="16" width="13" style="1" bestFit="1" customWidth="1"/>
    <col min="17" max="17" width="12.77734375" style="1" bestFit="1" customWidth="1"/>
    <col min="18" max="18" width="12.6640625" style="1" customWidth="1"/>
    <col min="19" max="19" width="16" style="1" bestFit="1" customWidth="1"/>
    <col min="20" max="20" width="7.21875" style="1" customWidth="1"/>
    <col min="21" max="21" width="9.77734375" style="1" bestFit="1" customWidth="1"/>
    <col min="22" max="16384" width="9.109375" style="1"/>
  </cols>
  <sheetData>
    <row r="1" spans="2:21" ht="14.4" thickBot="1" x14ac:dyDescent="0.3"/>
    <row r="2" spans="2:21" ht="16.2" thickBot="1" x14ac:dyDescent="0.35">
      <c r="B2" s="952" t="s">
        <v>533</v>
      </c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4"/>
    </row>
    <row r="3" spans="2:21" ht="16.2" thickBot="1" x14ac:dyDescent="0.35">
      <c r="B3" s="955" t="s">
        <v>216</v>
      </c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  <c r="O3" s="956"/>
      <c r="P3" s="956"/>
      <c r="Q3" s="956"/>
      <c r="R3" s="956"/>
      <c r="S3" s="956"/>
      <c r="T3" s="957"/>
    </row>
    <row r="4" spans="2:21" ht="109.8" x14ac:dyDescent="0.25">
      <c r="B4" s="87" t="s">
        <v>300</v>
      </c>
      <c r="C4" s="88" t="s">
        <v>1</v>
      </c>
      <c r="D4" s="89" t="s">
        <v>19</v>
      </c>
      <c r="E4" s="89" t="s">
        <v>20</v>
      </c>
      <c r="F4" s="90" t="s">
        <v>301</v>
      </c>
      <c r="G4" s="90" t="s">
        <v>208</v>
      </c>
      <c r="H4" s="90" t="s">
        <v>21</v>
      </c>
      <c r="I4" s="90" t="s">
        <v>314</v>
      </c>
      <c r="J4" s="90" t="s">
        <v>221</v>
      </c>
      <c r="K4" s="90" t="s">
        <v>315</v>
      </c>
      <c r="L4" s="90" t="s">
        <v>222</v>
      </c>
      <c r="M4" s="90" t="s">
        <v>55</v>
      </c>
      <c r="N4" s="90" t="s">
        <v>23</v>
      </c>
      <c r="O4" s="90" t="s">
        <v>302</v>
      </c>
      <c r="P4" s="90" t="s">
        <v>217</v>
      </c>
      <c r="Q4" s="90" t="s">
        <v>218</v>
      </c>
      <c r="R4" s="90" t="s">
        <v>452</v>
      </c>
      <c r="S4" s="90" t="s">
        <v>303</v>
      </c>
      <c r="T4" s="91" t="s">
        <v>304</v>
      </c>
    </row>
    <row r="5" spans="2:21" ht="16.2" thickBot="1" x14ac:dyDescent="0.35">
      <c r="B5" s="93">
        <v>1</v>
      </c>
      <c r="C5" s="94">
        <v>2</v>
      </c>
      <c r="D5" s="94">
        <v>3</v>
      </c>
      <c r="E5" s="94">
        <v>4</v>
      </c>
      <c r="F5" s="94">
        <v>5</v>
      </c>
      <c r="G5" s="94">
        <v>6</v>
      </c>
      <c r="H5" s="94">
        <v>7</v>
      </c>
      <c r="I5" s="94">
        <v>8</v>
      </c>
      <c r="J5" s="94">
        <v>9</v>
      </c>
      <c r="K5" s="94">
        <v>10</v>
      </c>
      <c r="L5" s="94">
        <v>11</v>
      </c>
      <c r="M5" s="94">
        <v>12</v>
      </c>
      <c r="N5" s="94">
        <v>13</v>
      </c>
      <c r="O5" s="94">
        <v>14</v>
      </c>
      <c r="P5" s="94">
        <v>15</v>
      </c>
      <c r="Q5" s="94">
        <v>16</v>
      </c>
      <c r="R5" s="94">
        <v>17</v>
      </c>
      <c r="S5" s="94">
        <v>18</v>
      </c>
      <c r="T5" s="95">
        <v>19</v>
      </c>
    </row>
    <row r="6" spans="2:21" ht="15.6" x14ac:dyDescent="0.3">
      <c r="B6" s="96">
        <v>1</v>
      </c>
      <c r="C6" s="63" t="s">
        <v>226</v>
      </c>
      <c r="D6" s="63">
        <v>126</v>
      </c>
      <c r="E6" s="63">
        <v>126</v>
      </c>
      <c r="F6" s="101">
        <v>11530.36</v>
      </c>
      <c r="G6" s="65">
        <v>988739.15333333332</v>
      </c>
      <c r="H6" s="98">
        <v>0.11900482909076876</v>
      </c>
      <c r="I6" s="97">
        <v>165</v>
      </c>
      <c r="J6" s="65">
        <v>249315</v>
      </c>
      <c r="K6" s="100">
        <v>6.5</v>
      </c>
      <c r="L6" s="65">
        <v>6426804.4966666661</v>
      </c>
      <c r="M6" s="99">
        <v>6676119.4966666661</v>
      </c>
      <c r="N6" s="101">
        <v>6.7521544728551355</v>
      </c>
      <c r="O6" s="65">
        <v>0</v>
      </c>
      <c r="P6" s="65">
        <v>0</v>
      </c>
      <c r="Q6" s="65">
        <v>0</v>
      </c>
      <c r="R6" s="65">
        <v>0</v>
      </c>
      <c r="S6" s="65">
        <v>6676119.4966666661</v>
      </c>
      <c r="T6" s="67">
        <v>6.7521544728551355</v>
      </c>
      <c r="U6" s="127"/>
    </row>
    <row r="7" spans="2:21" ht="15.6" x14ac:dyDescent="0.3">
      <c r="B7" s="104">
        <v>2</v>
      </c>
      <c r="C7" s="105" t="s">
        <v>227</v>
      </c>
      <c r="D7" s="63">
        <v>23</v>
      </c>
      <c r="E7" s="63">
        <v>23</v>
      </c>
      <c r="F7" s="101">
        <v>4412.76</v>
      </c>
      <c r="G7" s="65">
        <v>165909.29999999999</v>
      </c>
      <c r="H7" s="106">
        <v>1.9968874322925483E-2</v>
      </c>
      <c r="I7" s="107">
        <v>120</v>
      </c>
      <c r="J7" s="65">
        <v>509092.8</v>
      </c>
      <c r="K7" s="108">
        <v>6.5</v>
      </c>
      <c r="L7" s="65">
        <v>1078410.45</v>
      </c>
      <c r="M7" s="99">
        <v>1587503.25</v>
      </c>
      <c r="N7" s="109">
        <v>9.5685006807936634</v>
      </c>
      <c r="O7" s="65">
        <v>0</v>
      </c>
      <c r="P7" s="65">
        <v>0</v>
      </c>
      <c r="Q7" s="65">
        <v>0</v>
      </c>
      <c r="R7" s="65">
        <v>0</v>
      </c>
      <c r="S7" s="65">
        <v>1587503.25</v>
      </c>
      <c r="T7" s="229">
        <v>9.5685006807936634</v>
      </c>
      <c r="U7" s="127"/>
    </row>
    <row r="8" spans="2:21" ht="15.6" x14ac:dyDescent="0.3">
      <c r="B8" s="104">
        <v>3</v>
      </c>
      <c r="C8" s="105" t="s">
        <v>228</v>
      </c>
      <c r="D8" s="63">
        <v>40</v>
      </c>
      <c r="E8" s="63">
        <v>40</v>
      </c>
      <c r="F8" s="101">
        <v>61602.389999999978</v>
      </c>
      <c r="G8" s="65">
        <v>6358009.9300000006</v>
      </c>
      <c r="H8" s="106">
        <v>0.76525126220219275</v>
      </c>
      <c r="I8" s="107">
        <v>200</v>
      </c>
      <c r="J8" s="65">
        <v>18809122.5</v>
      </c>
      <c r="K8" s="108">
        <v>6.6</v>
      </c>
      <c r="L8" s="65">
        <v>42813459.876000002</v>
      </c>
      <c r="M8" s="99">
        <v>61622582.376000002</v>
      </c>
      <c r="N8" s="109">
        <v>9.6921179825838983</v>
      </c>
      <c r="O8" s="65">
        <v>26.999999999999957</v>
      </c>
      <c r="P8" s="65">
        <v>422011.05506573385</v>
      </c>
      <c r="Q8" s="65">
        <v>1029720.6471761407</v>
      </c>
      <c r="R8" s="65">
        <v>0</v>
      </c>
      <c r="S8" s="65">
        <v>62230318.968110405</v>
      </c>
      <c r="T8" s="229">
        <v>9.7877039597688071</v>
      </c>
      <c r="U8" s="127"/>
    </row>
    <row r="9" spans="2:21" ht="15.6" x14ac:dyDescent="0.3">
      <c r="B9" s="104">
        <v>4</v>
      </c>
      <c r="C9" s="105" t="s">
        <v>229</v>
      </c>
      <c r="D9" s="105"/>
      <c r="E9" s="63">
        <v>0</v>
      </c>
      <c r="F9" s="105"/>
      <c r="G9" s="28"/>
      <c r="H9" s="106">
        <v>0</v>
      </c>
      <c r="I9" s="107">
        <v>80</v>
      </c>
      <c r="J9" s="28"/>
      <c r="K9" s="108">
        <v>6.65</v>
      </c>
      <c r="L9" s="28"/>
      <c r="M9" s="99">
        <v>0</v>
      </c>
      <c r="N9" s="109">
        <v>0</v>
      </c>
      <c r="O9" s="28"/>
      <c r="P9" s="28"/>
      <c r="Q9" s="28"/>
      <c r="R9" s="28"/>
      <c r="S9" s="65">
        <v>0</v>
      </c>
      <c r="T9" s="229"/>
    </row>
    <row r="10" spans="2:21" ht="15.6" x14ac:dyDescent="0.3">
      <c r="B10" s="104">
        <v>5</v>
      </c>
      <c r="C10" s="105" t="s">
        <v>230</v>
      </c>
      <c r="D10" s="105"/>
      <c r="E10" s="63">
        <v>0</v>
      </c>
      <c r="F10" s="105"/>
      <c r="G10" s="28"/>
      <c r="H10" s="106">
        <v>0</v>
      </c>
      <c r="I10" s="107">
        <v>105</v>
      </c>
      <c r="J10" s="28"/>
      <c r="K10" s="108">
        <v>7.15</v>
      </c>
      <c r="L10" s="28"/>
      <c r="M10" s="99">
        <v>0</v>
      </c>
      <c r="N10" s="109">
        <v>0</v>
      </c>
      <c r="O10" s="28"/>
      <c r="P10" s="28"/>
      <c r="Q10" s="28"/>
      <c r="R10" s="28"/>
      <c r="S10" s="65">
        <v>0</v>
      </c>
      <c r="T10" s="229"/>
    </row>
    <row r="11" spans="2:21" ht="15.6" x14ac:dyDescent="0.3">
      <c r="B11" s="104">
        <v>6</v>
      </c>
      <c r="C11" s="105" t="s">
        <v>231</v>
      </c>
      <c r="D11" s="105">
        <v>6</v>
      </c>
      <c r="E11" s="63">
        <v>6</v>
      </c>
      <c r="F11" s="109">
        <v>208.19999999999996</v>
      </c>
      <c r="G11" s="28">
        <v>13011.600000000002</v>
      </c>
      <c r="H11" s="106">
        <v>1.5660786052389905E-3</v>
      </c>
      <c r="I11" s="107">
        <v>190</v>
      </c>
      <c r="J11" s="28">
        <v>38343.5</v>
      </c>
      <c r="K11" s="108">
        <v>8.65</v>
      </c>
      <c r="L11" s="28">
        <v>108433.14000000003</v>
      </c>
      <c r="M11" s="99">
        <v>146776.64000000001</v>
      </c>
      <c r="N11" s="109">
        <v>11.280445141258568</v>
      </c>
      <c r="O11" s="28">
        <v>0</v>
      </c>
      <c r="P11" s="28">
        <v>0</v>
      </c>
      <c r="Q11" s="28">
        <v>0</v>
      </c>
      <c r="R11" s="28">
        <v>0</v>
      </c>
      <c r="S11" s="65">
        <v>146776.64000000001</v>
      </c>
      <c r="T11" s="229">
        <v>11.280445141258568</v>
      </c>
      <c r="U11" s="127"/>
    </row>
    <row r="12" spans="2:21" ht="15.6" x14ac:dyDescent="0.3">
      <c r="B12" s="104">
        <v>7</v>
      </c>
      <c r="C12" s="105" t="s">
        <v>232</v>
      </c>
      <c r="D12" s="105">
        <v>19</v>
      </c>
      <c r="E12" s="63">
        <v>19</v>
      </c>
      <c r="F12" s="109">
        <v>320.94</v>
      </c>
      <c r="G12" s="28">
        <v>44785.829999999987</v>
      </c>
      <c r="H12" s="106">
        <v>5.3904308602224556E-3</v>
      </c>
      <c r="I12" s="107">
        <v>90</v>
      </c>
      <c r="J12" s="28">
        <v>26942.899999999998</v>
      </c>
      <c r="K12" s="108">
        <v>9.25</v>
      </c>
      <c r="L12" s="28">
        <v>373678.73349999991</v>
      </c>
      <c r="M12" s="99">
        <v>400621.63349999994</v>
      </c>
      <c r="N12" s="109">
        <v>8.9452765193812436</v>
      </c>
      <c r="O12" s="28">
        <v>0</v>
      </c>
      <c r="P12" s="28">
        <v>0</v>
      </c>
      <c r="Q12" s="28">
        <v>0</v>
      </c>
      <c r="R12" s="28">
        <v>0</v>
      </c>
      <c r="S12" s="65">
        <v>400621.63349999994</v>
      </c>
      <c r="T12" s="229">
        <v>8.9452765193812436</v>
      </c>
      <c r="U12" s="127"/>
    </row>
    <row r="13" spans="2:21" ht="15.6" x14ac:dyDescent="0.3">
      <c r="B13" s="104">
        <v>8</v>
      </c>
      <c r="C13" s="105" t="s">
        <v>233</v>
      </c>
      <c r="D13" s="105"/>
      <c r="E13" s="63">
        <v>0</v>
      </c>
      <c r="F13" s="105"/>
      <c r="G13" s="28"/>
      <c r="H13" s="106">
        <v>0</v>
      </c>
      <c r="I13" s="107">
        <v>90</v>
      </c>
      <c r="J13" s="28"/>
      <c r="K13" s="108">
        <v>9.4</v>
      </c>
      <c r="L13" s="28"/>
      <c r="M13" s="99">
        <v>0</v>
      </c>
      <c r="N13" s="107">
        <v>0</v>
      </c>
      <c r="O13" s="28"/>
      <c r="P13" s="28"/>
      <c r="Q13" s="28"/>
      <c r="R13" s="28"/>
      <c r="S13" s="65">
        <v>0</v>
      </c>
      <c r="T13" s="229"/>
    </row>
    <row r="14" spans="2:21" ht="15.6" x14ac:dyDescent="0.3">
      <c r="B14" s="104">
        <v>9</v>
      </c>
      <c r="C14" s="105" t="s">
        <v>234</v>
      </c>
      <c r="D14" s="105">
        <v>44</v>
      </c>
      <c r="E14" s="63">
        <v>44</v>
      </c>
      <c r="F14" s="109">
        <v>6874.6</v>
      </c>
      <c r="G14" s="28">
        <v>449691.18199999991</v>
      </c>
      <c r="H14" s="106">
        <v>5.4124914621939871E-2</v>
      </c>
      <c r="I14" s="107">
        <v>180</v>
      </c>
      <c r="J14" s="28">
        <v>1368762.9999999998</v>
      </c>
      <c r="K14" s="108">
        <v>9.25</v>
      </c>
      <c r="L14" s="28">
        <v>4111718.2869999995</v>
      </c>
      <c r="M14" s="99">
        <v>5480481.2869999995</v>
      </c>
      <c r="N14" s="109">
        <v>12.18721092689783</v>
      </c>
      <c r="O14" s="28">
        <v>0</v>
      </c>
      <c r="P14" s="28">
        <v>0</v>
      </c>
      <c r="Q14" s="28">
        <v>0</v>
      </c>
      <c r="R14" s="28">
        <v>0</v>
      </c>
      <c r="S14" s="65">
        <v>5480481.2869999995</v>
      </c>
      <c r="T14" s="229">
        <v>12.18721092689783</v>
      </c>
      <c r="U14" s="127"/>
    </row>
    <row r="15" spans="2:21" ht="15.6" x14ac:dyDescent="0.3">
      <c r="B15" s="104">
        <v>10</v>
      </c>
      <c r="C15" s="105" t="s">
        <v>235</v>
      </c>
      <c r="D15" s="105">
        <v>4</v>
      </c>
      <c r="E15" s="63">
        <v>4</v>
      </c>
      <c r="F15" s="109">
        <v>738</v>
      </c>
      <c r="G15" s="28">
        <v>77478.39</v>
      </c>
      <c r="H15" s="106">
        <v>9.3253134854562499E-3</v>
      </c>
      <c r="I15" s="107">
        <v>175</v>
      </c>
      <c r="J15" s="28">
        <v>122692.5</v>
      </c>
      <c r="K15" s="108">
        <v>9.4</v>
      </c>
      <c r="L15" s="28">
        <v>727123.3274999999</v>
      </c>
      <c r="M15" s="99">
        <v>849815.8274999999</v>
      </c>
      <c r="N15" s="109">
        <v>10.968423937306905</v>
      </c>
      <c r="O15" s="28">
        <v>0</v>
      </c>
      <c r="P15" s="28">
        <v>0</v>
      </c>
      <c r="Q15" s="28">
        <v>0</v>
      </c>
      <c r="R15" s="28">
        <v>0</v>
      </c>
      <c r="S15" s="65">
        <v>849815.8274999999</v>
      </c>
      <c r="T15" s="229">
        <v>10.968423937306905</v>
      </c>
      <c r="U15" s="127"/>
    </row>
    <row r="16" spans="2:21" ht="15.6" x14ac:dyDescent="0.3">
      <c r="B16" s="104">
        <v>11</v>
      </c>
      <c r="C16" s="105" t="s">
        <v>236</v>
      </c>
      <c r="D16" s="105"/>
      <c r="E16" s="63">
        <v>0</v>
      </c>
      <c r="F16" s="105"/>
      <c r="G16" s="28"/>
      <c r="H16" s="106">
        <v>0</v>
      </c>
      <c r="I16" s="107">
        <v>60</v>
      </c>
      <c r="J16" s="28"/>
      <c r="K16" s="108">
        <v>6.7</v>
      </c>
      <c r="L16" s="28"/>
      <c r="M16" s="99">
        <v>0</v>
      </c>
      <c r="N16" s="109">
        <v>0</v>
      </c>
      <c r="O16" s="28"/>
      <c r="P16" s="28"/>
      <c r="Q16" s="28"/>
      <c r="R16" s="28"/>
      <c r="S16" s="65">
        <v>0</v>
      </c>
      <c r="T16" s="229"/>
    </row>
    <row r="17" spans="2:21" ht="15.6" x14ac:dyDescent="0.3">
      <c r="B17" s="104">
        <v>12</v>
      </c>
      <c r="C17" s="105" t="s">
        <v>237</v>
      </c>
      <c r="D17" s="105">
        <v>5</v>
      </c>
      <c r="E17" s="63">
        <v>5</v>
      </c>
      <c r="F17" s="109">
        <v>270.11999999999995</v>
      </c>
      <c r="G17" s="28">
        <v>22410.730000000003</v>
      </c>
      <c r="H17" s="106">
        <v>2.6973596468372529E-3</v>
      </c>
      <c r="I17" s="107">
        <v>140</v>
      </c>
      <c r="J17" s="28">
        <v>7700</v>
      </c>
      <c r="K17" s="108">
        <v>5.8</v>
      </c>
      <c r="L17" s="28">
        <v>129982.23400000004</v>
      </c>
      <c r="M17" s="99">
        <v>137682.23400000005</v>
      </c>
      <c r="N17" s="109">
        <v>0</v>
      </c>
      <c r="O17" s="28">
        <v>0</v>
      </c>
      <c r="P17" s="28">
        <v>0</v>
      </c>
      <c r="Q17" s="28">
        <v>0</v>
      </c>
      <c r="R17" s="28">
        <v>0</v>
      </c>
      <c r="S17" s="65">
        <v>137682.23400000005</v>
      </c>
      <c r="T17" s="229"/>
    </row>
    <row r="18" spans="2:21" ht="15.6" x14ac:dyDescent="0.3">
      <c r="B18" s="104">
        <v>13</v>
      </c>
      <c r="C18" s="105" t="s">
        <v>238</v>
      </c>
      <c r="D18" s="105"/>
      <c r="E18" s="63">
        <v>0</v>
      </c>
      <c r="F18" s="105"/>
      <c r="G18" s="28"/>
      <c r="H18" s="106">
        <v>0</v>
      </c>
      <c r="I18" s="107">
        <v>85</v>
      </c>
      <c r="J18" s="28"/>
      <c r="K18" s="108">
        <v>5.8</v>
      </c>
      <c r="L18" s="28"/>
      <c r="M18" s="99">
        <v>0</v>
      </c>
      <c r="N18" s="109">
        <v>0</v>
      </c>
      <c r="O18" s="28"/>
      <c r="P18" s="28"/>
      <c r="Q18" s="28"/>
      <c r="R18" s="28"/>
      <c r="S18" s="65">
        <v>0</v>
      </c>
      <c r="T18" s="229">
        <v>0</v>
      </c>
      <c r="U18" s="127"/>
    </row>
    <row r="19" spans="2:21" ht="15.6" x14ac:dyDescent="0.3">
      <c r="B19" s="104">
        <v>14</v>
      </c>
      <c r="C19" s="105" t="s">
        <v>239</v>
      </c>
      <c r="D19" s="105">
        <v>2</v>
      </c>
      <c r="E19" s="63">
        <v>2</v>
      </c>
      <c r="F19" s="109">
        <v>696</v>
      </c>
      <c r="G19" s="28">
        <v>66514.900000000038</v>
      </c>
      <c r="H19" s="106">
        <v>8.0057457821951939E-3</v>
      </c>
      <c r="I19" s="107">
        <v>200</v>
      </c>
      <c r="J19" s="28">
        <v>113867</v>
      </c>
      <c r="K19" s="108">
        <v>5.85</v>
      </c>
      <c r="L19" s="28">
        <v>405345.76875000016</v>
      </c>
      <c r="M19" s="99">
        <v>519212.76875000016</v>
      </c>
      <c r="N19" s="109">
        <v>7.8059618032951992</v>
      </c>
      <c r="O19" s="28">
        <v>0</v>
      </c>
      <c r="P19" s="28">
        <v>0</v>
      </c>
      <c r="Q19" s="28">
        <v>68163.964552257079</v>
      </c>
      <c r="R19" s="28">
        <v>0</v>
      </c>
      <c r="S19" s="65">
        <v>587376.73330225726</v>
      </c>
      <c r="T19" s="229">
        <v>8.8307542114963251</v>
      </c>
      <c r="U19" s="127"/>
    </row>
    <row r="20" spans="2:21" ht="15.6" x14ac:dyDescent="0.3">
      <c r="B20" s="104">
        <v>15</v>
      </c>
      <c r="C20" s="105" t="s">
        <v>294</v>
      </c>
      <c r="D20" s="63"/>
      <c r="E20" s="63">
        <v>0</v>
      </c>
      <c r="F20" s="63"/>
      <c r="G20" s="65"/>
      <c r="H20" s="111">
        <v>0</v>
      </c>
      <c r="I20" s="107">
        <v>165</v>
      </c>
      <c r="J20" s="65"/>
      <c r="K20" s="108">
        <v>8.6</v>
      </c>
      <c r="L20" s="65"/>
      <c r="M20" s="99">
        <v>0</v>
      </c>
      <c r="N20" s="109">
        <v>0</v>
      </c>
      <c r="O20" s="65"/>
      <c r="P20" s="65"/>
      <c r="Q20" s="65"/>
      <c r="R20" s="65"/>
      <c r="S20" s="65">
        <v>0</v>
      </c>
      <c r="T20" s="229"/>
    </row>
    <row r="21" spans="2:21" ht="15.6" x14ac:dyDescent="0.3">
      <c r="B21" s="104">
        <v>16</v>
      </c>
      <c r="C21" s="105" t="s">
        <v>453</v>
      </c>
      <c r="D21" s="105">
        <v>1</v>
      </c>
      <c r="E21" s="63">
        <v>1</v>
      </c>
      <c r="F21" s="109">
        <v>12</v>
      </c>
      <c r="G21" s="28">
        <v>4672</v>
      </c>
      <c r="H21" s="111">
        <v>5.6232279225280229E-4</v>
      </c>
      <c r="I21" s="107">
        <v>700</v>
      </c>
      <c r="J21" s="28">
        <v>8400</v>
      </c>
      <c r="K21" s="108">
        <v>12.5</v>
      </c>
      <c r="L21" s="28">
        <v>58400</v>
      </c>
      <c r="M21" s="99">
        <v>66800</v>
      </c>
      <c r="N21" s="109">
        <v>0</v>
      </c>
      <c r="O21" s="28">
        <v>0</v>
      </c>
      <c r="P21" s="28">
        <v>0</v>
      </c>
      <c r="Q21" s="28">
        <v>0</v>
      </c>
      <c r="R21" s="28">
        <v>0</v>
      </c>
      <c r="S21" s="65">
        <v>66800</v>
      </c>
      <c r="T21" s="229">
        <v>14.297945205479452</v>
      </c>
      <c r="U21" s="127"/>
    </row>
    <row r="22" spans="2:21" s="73" customFormat="1" ht="15.6" x14ac:dyDescent="0.3">
      <c r="B22" s="104">
        <v>17</v>
      </c>
      <c r="C22" s="105" t="s">
        <v>550</v>
      </c>
      <c r="D22" s="97">
        <v>0</v>
      </c>
      <c r="E22" s="63">
        <v>0</v>
      </c>
      <c r="F22" s="97">
        <v>0</v>
      </c>
      <c r="G22" s="65">
        <v>0</v>
      </c>
      <c r="H22" s="111">
        <v>0</v>
      </c>
      <c r="I22" s="107">
        <v>100</v>
      </c>
      <c r="J22" s="65">
        <v>0</v>
      </c>
      <c r="K22" s="108">
        <v>5.5</v>
      </c>
      <c r="L22" s="65">
        <v>0</v>
      </c>
      <c r="M22" s="99">
        <v>0</v>
      </c>
      <c r="N22" s="109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229">
        <v>0</v>
      </c>
      <c r="U22" s="660"/>
    </row>
    <row r="23" spans="2:21" ht="15.6" x14ac:dyDescent="0.3">
      <c r="B23" s="104">
        <v>18</v>
      </c>
      <c r="C23" s="105" t="s">
        <v>214</v>
      </c>
      <c r="D23" s="105">
        <v>1</v>
      </c>
      <c r="E23" s="63">
        <v>1</v>
      </c>
      <c r="F23" s="105">
        <v>1440</v>
      </c>
      <c r="G23" s="28">
        <v>105914.20600000005</v>
      </c>
      <c r="H23" s="106">
        <v>1.2747853608124686E-2</v>
      </c>
      <c r="I23" s="107">
        <v>200</v>
      </c>
      <c r="J23" s="28">
        <v>288000</v>
      </c>
      <c r="K23" s="108">
        <v>6.6</v>
      </c>
      <c r="L23" s="28">
        <v>699032</v>
      </c>
      <c r="M23" s="99">
        <v>987032</v>
      </c>
      <c r="N23" s="109">
        <v>0</v>
      </c>
      <c r="O23" s="28">
        <v>0</v>
      </c>
      <c r="P23" s="28">
        <v>0</v>
      </c>
      <c r="Q23" s="28">
        <v>0</v>
      </c>
      <c r="R23" s="28">
        <v>0</v>
      </c>
      <c r="S23" s="65">
        <v>987032</v>
      </c>
      <c r="T23" s="229">
        <v>9.3191653629542337</v>
      </c>
    </row>
    <row r="24" spans="2:21" ht="16.2" thickBot="1" x14ac:dyDescent="0.35">
      <c r="B24" s="112">
        <v>19</v>
      </c>
      <c r="C24" s="113" t="s">
        <v>53</v>
      </c>
      <c r="D24" s="105">
        <v>1</v>
      </c>
      <c r="E24" s="63">
        <v>1</v>
      </c>
      <c r="F24" s="109">
        <v>39</v>
      </c>
      <c r="G24" s="28">
        <v>11258</v>
      </c>
      <c r="H24" s="114">
        <v>1.3550149818454726E-3</v>
      </c>
      <c r="I24" s="115">
        <v>90</v>
      </c>
      <c r="J24" s="28">
        <v>975</v>
      </c>
      <c r="K24" s="116">
        <v>4.8</v>
      </c>
      <c r="L24" s="28">
        <v>53336.4</v>
      </c>
      <c r="M24" s="99">
        <v>54311.4</v>
      </c>
      <c r="N24" s="117">
        <v>4.8242494226327945</v>
      </c>
      <c r="O24" s="28">
        <v>0</v>
      </c>
      <c r="P24" s="28">
        <v>0</v>
      </c>
      <c r="Q24" s="28">
        <v>0</v>
      </c>
      <c r="R24" s="28">
        <v>0</v>
      </c>
      <c r="S24" s="65">
        <v>54311.4</v>
      </c>
      <c r="T24" s="231">
        <v>4.8242494226327945</v>
      </c>
      <c r="U24" s="127"/>
    </row>
    <row r="25" spans="2:21" ht="16.2" thickBot="1" x14ac:dyDescent="0.35">
      <c r="B25" s="119">
        <v>20</v>
      </c>
      <c r="C25" s="120" t="s">
        <v>305</v>
      </c>
      <c r="D25" s="120">
        <v>272</v>
      </c>
      <c r="E25" s="120">
        <v>272</v>
      </c>
      <c r="F25" s="232">
        <v>88144.369999999981</v>
      </c>
      <c r="G25" s="232">
        <v>8308395.2213333342</v>
      </c>
      <c r="H25" s="122">
        <v>1</v>
      </c>
      <c r="I25" s="123"/>
      <c r="J25" s="124">
        <v>21543214.199999999</v>
      </c>
      <c r="K25" s="121"/>
      <c r="L25" s="124">
        <v>56985724.713416658</v>
      </c>
      <c r="M25" s="124">
        <v>78528938.913416669</v>
      </c>
      <c r="N25" s="125">
        <v>9.4517577488104028</v>
      </c>
      <c r="O25" s="124">
        <v>26.999999999999957</v>
      </c>
      <c r="P25" s="124">
        <v>422011.05506573385</v>
      </c>
      <c r="Q25" s="124">
        <v>1097884.6117283977</v>
      </c>
      <c r="R25" s="124">
        <v>0</v>
      </c>
      <c r="S25" s="124">
        <v>79204839.470079318</v>
      </c>
      <c r="T25" s="233">
        <v>9.5331092659995651</v>
      </c>
      <c r="U25" s="127"/>
    </row>
    <row r="26" spans="2:21" ht="15.6" x14ac:dyDescent="0.3">
      <c r="B26" s="96">
        <v>21</v>
      </c>
      <c r="C26" s="63" t="s">
        <v>309</v>
      </c>
      <c r="D26" s="63">
        <v>5</v>
      </c>
      <c r="E26" s="63">
        <v>5</v>
      </c>
      <c r="F26" s="28">
        <v>78964</v>
      </c>
      <c r="G26" s="28">
        <v>16720818</v>
      </c>
      <c r="H26" s="114">
        <v>0.9819397693987334</v>
      </c>
      <c r="I26" s="97">
        <v>410</v>
      </c>
      <c r="J26" s="28">
        <v>27876530.98</v>
      </c>
      <c r="K26" s="100">
        <v>6.6</v>
      </c>
      <c r="L26" s="28">
        <v>112345016.85000001</v>
      </c>
      <c r="M26" s="99">
        <v>140221547.83000001</v>
      </c>
      <c r="N26" s="117">
        <v>8.3860459356713299</v>
      </c>
      <c r="O26" s="28">
        <v>65813.200000000041</v>
      </c>
      <c r="P26" s="28">
        <v>2067460.2855540346</v>
      </c>
      <c r="Q26" s="28">
        <v>0</v>
      </c>
      <c r="R26" s="28">
        <v>659843.80000000005</v>
      </c>
      <c r="S26" s="99">
        <v>138879744.54444599</v>
      </c>
      <c r="T26" s="231">
        <v>8.3057984689771747</v>
      </c>
      <c r="U26" s="127"/>
    </row>
    <row r="27" spans="2:21" ht="15.6" x14ac:dyDescent="0.3">
      <c r="B27" s="104">
        <v>22</v>
      </c>
      <c r="C27" s="105" t="s">
        <v>308</v>
      </c>
      <c r="D27" s="105">
        <v>0</v>
      </c>
      <c r="E27" s="63">
        <v>0</v>
      </c>
      <c r="F27" s="28">
        <v>0</v>
      </c>
      <c r="G27" s="28">
        <v>0</v>
      </c>
      <c r="H27" s="114">
        <v>0</v>
      </c>
      <c r="I27" s="107">
        <v>440</v>
      </c>
      <c r="J27" s="28">
        <v>0</v>
      </c>
      <c r="K27" s="108">
        <v>6.05</v>
      </c>
      <c r="L27" s="28">
        <v>0</v>
      </c>
      <c r="M27" s="99">
        <v>0</v>
      </c>
      <c r="N27" s="117">
        <v>0</v>
      </c>
      <c r="O27" s="28">
        <v>0</v>
      </c>
      <c r="P27" s="28">
        <v>0</v>
      </c>
      <c r="Q27" s="28">
        <v>0</v>
      </c>
      <c r="R27" s="28">
        <v>0</v>
      </c>
      <c r="S27" s="99">
        <v>0</v>
      </c>
      <c r="T27" s="231">
        <v>0</v>
      </c>
    </row>
    <row r="28" spans="2:21" ht="15.6" x14ac:dyDescent="0.3">
      <c r="B28" s="96">
        <v>23</v>
      </c>
      <c r="C28" s="113" t="s">
        <v>451</v>
      </c>
      <c r="D28" s="113">
        <v>1</v>
      </c>
      <c r="E28" s="63">
        <v>1</v>
      </c>
      <c r="F28" s="28">
        <v>2980</v>
      </c>
      <c r="G28" s="28">
        <v>307536</v>
      </c>
      <c r="H28" s="114">
        <v>1.8060230601266571E-2</v>
      </c>
      <c r="I28" s="115">
        <v>525</v>
      </c>
      <c r="J28" s="28">
        <v>1133475</v>
      </c>
      <c r="K28" s="116">
        <v>7.8</v>
      </c>
      <c r="L28" s="28">
        <v>2112967.4</v>
      </c>
      <c r="M28" s="99">
        <v>3246442.4</v>
      </c>
      <c r="N28" s="117">
        <v>0</v>
      </c>
      <c r="O28" s="28">
        <v>0</v>
      </c>
      <c r="P28" s="28">
        <v>52376.671215547016</v>
      </c>
      <c r="Q28" s="28">
        <v>1431.115589353612</v>
      </c>
      <c r="R28" s="28">
        <v>0</v>
      </c>
      <c r="S28" s="99">
        <v>3195496.8443738064</v>
      </c>
      <c r="T28" s="231">
        <v>10.390643190955876</v>
      </c>
    </row>
    <row r="29" spans="2:21" ht="16.2" thickBot="1" x14ac:dyDescent="0.35">
      <c r="B29" s="104">
        <v>24</v>
      </c>
      <c r="C29" s="113" t="s">
        <v>54</v>
      </c>
      <c r="D29" s="113">
        <v>0</v>
      </c>
      <c r="E29" s="63">
        <v>0</v>
      </c>
      <c r="F29" s="28">
        <v>0</v>
      </c>
      <c r="G29" s="28">
        <v>0</v>
      </c>
      <c r="H29" s="114">
        <v>0</v>
      </c>
      <c r="I29" s="115">
        <v>500</v>
      </c>
      <c r="J29" s="28">
        <v>0</v>
      </c>
      <c r="K29" s="116">
        <v>7.9</v>
      </c>
      <c r="L29" s="28">
        <v>0</v>
      </c>
      <c r="M29" s="99">
        <v>0</v>
      </c>
      <c r="N29" s="117">
        <v>0</v>
      </c>
      <c r="O29" s="28">
        <v>0</v>
      </c>
      <c r="P29" s="28">
        <v>0</v>
      </c>
      <c r="Q29" s="28">
        <v>0</v>
      </c>
      <c r="R29" s="28">
        <v>0</v>
      </c>
      <c r="S29" s="99">
        <v>0</v>
      </c>
      <c r="T29" s="231">
        <v>0</v>
      </c>
    </row>
    <row r="30" spans="2:21" ht="16.2" thickBot="1" x14ac:dyDescent="0.35">
      <c r="B30" s="128">
        <v>25</v>
      </c>
      <c r="C30" s="129" t="s">
        <v>306</v>
      </c>
      <c r="D30" s="120">
        <v>6</v>
      </c>
      <c r="E30" s="120">
        <v>6</v>
      </c>
      <c r="F30" s="663">
        <v>81944</v>
      </c>
      <c r="G30" s="232">
        <v>17028354</v>
      </c>
      <c r="H30" s="122">
        <v>1</v>
      </c>
      <c r="I30" s="123"/>
      <c r="J30" s="124">
        <v>29010005.98</v>
      </c>
      <c r="K30" s="124"/>
      <c r="L30" s="124">
        <v>114457984.25000001</v>
      </c>
      <c r="M30" s="124">
        <v>143467990.23000002</v>
      </c>
      <c r="N30" s="125">
        <v>8.4252412317714338</v>
      </c>
      <c r="O30" s="124">
        <v>65813.200000000041</v>
      </c>
      <c r="P30" s="124">
        <v>2119836.9567695819</v>
      </c>
      <c r="Q30" s="124">
        <v>1431.115589353612</v>
      </c>
      <c r="R30" s="124">
        <v>659843.80000000005</v>
      </c>
      <c r="S30" s="124">
        <v>142075241.38881978</v>
      </c>
      <c r="T30" s="233">
        <v>8.3434512454239425</v>
      </c>
      <c r="U30" s="127"/>
    </row>
    <row r="31" spans="2:21" ht="16.2" thickBot="1" x14ac:dyDescent="0.35">
      <c r="B31" s="135">
        <v>26</v>
      </c>
      <c r="C31" s="136" t="s">
        <v>267</v>
      </c>
      <c r="D31" s="136">
        <v>278</v>
      </c>
      <c r="E31" s="136">
        <v>278</v>
      </c>
      <c r="F31" s="236">
        <v>170088.37</v>
      </c>
      <c r="G31" s="236">
        <v>25336749.221333332</v>
      </c>
      <c r="H31" s="136"/>
      <c r="I31" s="136"/>
      <c r="J31" s="137">
        <v>50553220.18</v>
      </c>
      <c r="K31" s="137"/>
      <c r="L31" s="137">
        <v>171443708.96341667</v>
      </c>
      <c r="M31" s="137">
        <v>221996929.1434167</v>
      </c>
      <c r="N31" s="137">
        <v>8.7618552484427301</v>
      </c>
      <c r="O31" s="137">
        <v>65840.200000000041</v>
      </c>
      <c r="P31" s="137">
        <v>2541848.0118353157</v>
      </c>
      <c r="Q31" s="137">
        <v>1099315.7273177514</v>
      </c>
      <c r="R31" s="137">
        <v>659843.80000000005</v>
      </c>
      <c r="S31" s="137">
        <v>221280080.85889912</v>
      </c>
      <c r="T31" s="237">
        <v>8.7335624205722144</v>
      </c>
    </row>
    <row r="32" spans="2:21" ht="15.6" x14ac:dyDescent="0.3">
      <c r="B32" s="96">
        <v>27</v>
      </c>
      <c r="C32" s="63" t="s">
        <v>24</v>
      </c>
      <c r="D32" s="63"/>
      <c r="E32" s="63"/>
      <c r="F32" s="97"/>
      <c r="G32" s="97"/>
      <c r="H32" s="97"/>
      <c r="I32" s="97"/>
      <c r="J32" s="97"/>
      <c r="K32" s="97"/>
      <c r="L32" s="97"/>
      <c r="M32" s="97"/>
      <c r="N32" s="101"/>
      <c r="O32" s="99"/>
      <c r="P32" s="99"/>
      <c r="Q32" s="99"/>
      <c r="R32" s="99"/>
      <c r="S32" s="140">
        <v>11832424.148093011</v>
      </c>
      <c r="T32" s="220"/>
    </row>
    <row r="33" spans="2:20" ht="15.6" x14ac:dyDescent="0.3">
      <c r="B33" s="104">
        <v>28</v>
      </c>
      <c r="C33" s="105" t="s">
        <v>25</v>
      </c>
      <c r="D33" s="105"/>
      <c r="E33" s="105"/>
      <c r="F33" s="107"/>
      <c r="G33" s="107"/>
      <c r="H33" s="107"/>
      <c r="I33" s="107"/>
      <c r="J33" s="107"/>
      <c r="K33" s="107"/>
      <c r="L33" s="107"/>
      <c r="M33" s="107"/>
      <c r="N33" s="107"/>
      <c r="O33" s="139"/>
      <c r="P33" s="139"/>
      <c r="Q33" s="139"/>
      <c r="R33" s="139"/>
      <c r="S33" s="139">
        <v>233112505.00699213</v>
      </c>
      <c r="T33" s="221"/>
    </row>
    <row r="34" spans="2:20" ht="16.2" thickBot="1" x14ac:dyDescent="0.35">
      <c r="B34" s="112">
        <v>29</v>
      </c>
      <c r="C34" s="113" t="s">
        <v>468</v>
      </c>
      <c r="D34" s="113"/>
      <c r="E34" s="113"/>
      <c r="F34" s="115"/>
      <c r="G34" s="115"/>
      <c r="H34" s="115"/>
      <c r="I34" s="115"/>
      <c r="J34" s="115"/>
      <c r="K34" s="115"/>
      <c r="L34" s="115"/>
      <c r="M34" s="115"/>
      <c r="N34" s="115"/>
      <c r="O34" s="140"/>
      <c r="P34" s="140"/>
      <c r="Q34" s="140"/>
      <c r="R34" s="140"/>
      <c r="S34" s="140">
        <v>12070050.830304991</v>
      </c>
      <c r="T34" s="222"/>
    </row>
    <row r="35" spans="2:20" ht="16.2" thickBot="1" x14ac:dyDescent="0.35">
      <c r="B35" s="119">
        <v>30</v>
      </c>
      <c r="C35" s="120" t="s">
        <v>307</v>
      </c>
      <c r="D35" s="120"/>
      <c r="E35" s="120"/>
      <c r="F35" s="121"/>
      <c r="G35" s="121"/>
      <c r="H35" s="121"/>
      <c r="I35" s="121"/>
      <c r="J35" s="121"/>
      <c r="K35" s="121"/>
      <c r="L35" s="121"/>
      <c r="M35" s="121"/>
      <c r="N35" s="121"/>
      <c r="O35" s="124"/>
      <c r="P35" s="124"/>
      <c r="Q35" s="124"/>
      <c r="R35" s="124"/>
      <c r="S35" s="124">
        <v>221042454.17668715</v>
      </c>
      <c r="T35" s="223"/>
    </row>
    <row r="37" spans="2:20" ht="18.600000000000001" hidden="1" thickBot="1" x14ac:dyDescent="0.4">
      <c r="Q37" s="224"/>
      <c r="R37" s="225"/>
      <c r="S37" s="226"/>
    </row>
    <row r="38" spans="2:20" ht="18" x14ac:dyDescent="0.35">
      <c r="Q38" s="227"/>
      <c r="R38" s="227"/>
      <c r="S38" s="228"/>
    </row>
    <row r="39" spans="2:20" x14ac:dyDescent="0.25">
      <c r="M39" s="103"/>
      <c r="S39" s="103"/>
    </row>
    <row r="40" spans="2:20" x14ac:dyDescent="0.25">
      <c r="M40" s="103"/>
    </row>
    <row r="41" spans="2:20" ht="15.6" x14ac:dyDescent="0.3">
      <c r="B41" s="72"/>
      <c r="C41" s="73"/>
      <c r="D41" s="73"/>
      <c r="E41" s="73"/>
      <c r="F41" s="73"/>
      <c r="M41" s="74"/>
    </row>
    <row r="42" spans="2:20" ht="15.6" x14ac:dyDescent="0.3">
      <c r="B42" s="72"/>
      <c r="C42" s="73"/>
      <c r="D42" s="73"/>
      <c r="E42" s="73"/>
      <c r="F42" s="73"/>
      <c r="M42" s="75"/>
    </row>
    <row r="43" spans="2:20" ht="15.6" x14ac:dyDescent="0.3">
      <c r="B43" s="73"/>
      <c r="C43" s="73"/>
      <c r="D43" s="73"/>
      <c r="E43" s="73"/>
      <c r="F43" s="76"/>
      <c r="M43" s="73"/>
    </row>
    <row r="44" spans="2:20" ht="15.6" x14ac:dyDescent="0.3">
      <c r="B44" s="73"/>
      <c r="C44" s="73"/>
      <c r="D44" s="73"/>
      <c r="E44" s="73"/>
      <c r="F44" s="76"/>
      <c r="M44" s="73"/>
    </row>
    <row r="45" spans="2:20" ht="15.6" x14ac:dyDescent="0.3">
      <c r="B45" s="73"/>
      <c r="C45" s="73"/>
      <c r="D45" s="73"/>
      <c r="E45" s="73"/>
      <c r="F45" s="76"/>
      <c r="M45" s="73"/>
    </row>
    <row r="46" spans="2:20" ht="15.6" x14ac:dyDescent="0.3">
      <c r="B46" s="73"/>
      <c r="C46" s="73"/>
      <c r="D46" s="73"/>
      <c r="E46" s="73"/>
      <c r="F46" s="73"/>
      <c r="M46" s="73"/>
    </row>
    <row r="47" spans="2:20" ht="15.6" x14ac:dyDescent="0.3">
      <c r="B47" s="84"/>
      <c r="C47" s="77"/>
      <c r="D47" s="78"/>
      <c r="E47" s="73"/>
      <c r="F47" s="73"/>
      <c r="M47" s="79"/>
    </row>
    <row r="48" spans="2:20" ht="15.6" x14ac:dyDescent="0.3">
      <c r="B48" s="84"/>
      <c r="C48" s="80"/>
      <c r="D48" s="78"/>
      <c r="E48" s="73"/>
      <c r="F48" s="81"/>
      <c r="M48" s="79"/>
    </row>
    <row r="49" spans="2:7" ht="15.6" x14ac:dyDescent="0.3">
      <c r="B49" s="82"/>
      <c r="C49" s="82"/>
      <c r="D49" s="82"/>
      <c r="E49" s="82"/>
      <c r="F49" s="73"/>
      <c r="G49" s="73"/>
    </row>
    <row r="50" spans="2:7" ht="15.6" x14ac:dyDescent="0.3">
      <c r="B50" s="82"/>
      <c r="C50" s="82"/>
      <c r="D50" s="82"/>
      <c r="E50" s="73"/>
      <c r="F50" s="79"/>
      <c r="G50" s="73"/>
    </row>
    <row r="51" spans="2:7" ht="15.6" x14ac:dyDescent="0.3">
      <c r="B51" s="73"/>
      <c r="C51" s="82"/>
      <c r="D51" s="82"/>
      <c r="E51" s="73"/>
      <c r="F51" s="83"/>
      <c r="G51" s="73"/>
    </row>
    <row r="52" spans="2:7" ht="15.6" x14ac:dyDescent="0.3">
      <c r="C52" s="82"/>
      <c r="D52" s="82"/>
      <c r="E52" s="85"/>
      <c r="F52" s="83"/>
      <c r="G52" s="73"/>
    </row>
    <row r="53" spans="2:7" ht="15.6" x14ac:dyDescent="0.3">
      <c r="C53" s="82"/>
      <c r="D53" s="82"/>
      <c r="E53" s="82"/>
      <c r="F53" s="86"/>
      <c r="G53" s="73"/>
    </row>
  </sheetData>
  <mergeCells count="2">
    <mergeCell ref="B2:T2"/>
    <mergeCell ref="B3:T3"/>
  </mergeCells>
  <printOptions horizontalCentered="1" verticalCentered="1"/>
  <pageMargins left="0.7" right="0.7" top="0.75" bottom="0.75" header="0.3" footer="0.3"/>
  <pageSetup paperSize="8" scale="7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B1:U54"/>
  <sheetViews>
    <sheetView view="pageBreakPreview" topLeftCell="A8" zoomScale="60" zoomScaleNormal="70" workbookViewId="0">
      <selection activeCell="N49" sqref="N49"/>
    </sheetView>
  </sheetViews>
  <sheetFormatPr defaultColWidth="9.109375" defaultRowHeight="13.8" x14ac:dyDescent="0.25"/>
  <cols>
    <col min="1" max="1" width="9.109375" style="1"/>
    <col min="2" max="2" width="9.21875" style="1" bestFit="1" customWidth="1"/>
    <col min="3" max="3" width="48.109375" style="1" bestFit="1" customWidth="1"/>
    <col min="4" max="4" width="4.21875" style="1" bestFit="1" customWidth="1"/>
    <col min="5" max="5" width="7.21875" style="1" bestFit="1" customWidth="1"/>
    <col min="6" max="6" width="10.88671875" style="1" customWidth="1"/>
    <col min="7" max="7" width="14.88671875" style="1" bestFit="1" customWidth="1"/>
    <col min="8" max="8" width="10" style="1" bestFit="1" customWidth="1"/>
    <col min="9" max="9" width="8.88671875" style="1" bestFit="1" customWidth="1"/>
    <col min="10" max="10" width="12.88671875" style="1" bestFit="1" customWidth="1"/>
    <col min="11" max="11" width="11.33203125" style="1" bestFit="1" customWidth="1"/>
    <col min="12" max="12" width="14.44140625" style="1" bestFit="1" customWidth="1"/>
    <col min="13" max="13" width="12.88671875" style="1" bestFit="1" customWidth="1"/>
    <col min="14" max="14" width="8.88671875" style="1" bestFit="1" customWidth="1"/>
    <col min="15" max="15" width="14.6640625" style="1" customWidth="1"/>
    <col min="16" max="16" width="12.88671875" style="1" bestFit="1" customWidth="1"/>
    <col min="17" max="17" width="12.6640625" style="1" bestFit="1" customWidth="1"/>
    <col min="18" max="18" width="12.6640625" style="1" customWidth="1"/>
    <col min="19" max="19" width="15.88671875" style="1" bestFit="1" customWidth="1"/>
    <col min="20" max="20" width="10.21875" style="1" customWidth="1"/>
    <col min="21" max="16384" width="9.109375" style="1"/>
  </cols>
  <sheetData>
    <row r="1" spans="2:20" ht="14.4" thickBot="1" x14ac:dyDescent="0.3"/>
    <row r="2" spans="2:20" ht="16.2" thickBot="1" x14ac:dyDescent="0.35">
      <c r="B2" s="952" t="s">
        <v>534</v>
      </c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4"/>
    </row>
    <row r="3" spans="2:20" ht="16.2" thickBot="1" x14ac:dyDescent="0.35">
      <c r="B3" s="955" t="s">
        <v>216</v>
      </c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  <c r="O3" s="956"/>
      <c r="P3" s="956"/>
      <c r="Q3" s="956"/>
      <c r="R3" s="956"/>
      <c r="S3" s="956"/>
      <c r="T3" s="957"/>
    </row>
    <row r="4" spans="2:20" ht="109.8" x14ac:dyDescent="0.25">
      <c r="B4" s="87" t="s">
        <v>300</v>
      </c>
      <c r="C4" s="88" t="s">
        <v>1</v>
      </c>
      <c r="D4" s="89" t="s">
        <v>19</v>
      </c>
      <c r="E4" s="89" t="s">
        <v>20</v>
      </c>
      <c r="F4" s="90" t="s">
        <v>301</v>
      </c>
      <c r="G4" s="90" t="s">
        <v>208</v>
      </c>
      <c r="H4" s="90" t="s">
        <v>21</v>
      </c>
      <c r="I4" s="90" t="s">
        <v>314</v>
      </c>
      <c r="J4" s="90" t="s">
        <v>221</v>
      </c>
      <c r="K4" s="90" t="s">
        <v>315</v>
      </c>
      <c r="L4" s="90" t="s">
        <v>222</v>
      </c>
      <c r="M4" s="90" t="s">
        <v>55</v>
      </c>
      <c r="N4" s="90" t="s">
        <v>23</v>
      </c>
      <c r="O4" s="90" t="s">
        <v>302</v>
      </c>
      <c r="P4" s="90" t="s">
        <v>217</v>
      </c>
      <c r="Q4" s="90" t="s">
        <v>218</v>
      </c>
      <c r="R4" s="90" t="s">
        <v>452</v>
      </c>
      <c r="S4" s="90" t="s">
        <v>303</v>
      </c>
      <c r="T4" s="91" t="s">
        <v>304</v>
      </c>
    </row>
    <row r="5" spans="2:20" ht="16.2" thickBot="1" x14ac:dyDescent="0.35">
      <c r="B5" s="93">
        <v>1</v>
      </c>
      <c r="C5" s="94">
        <v>2</v>
      </c>
      <c r="D5" s="94">
        <v>3</v>
      </c>
      <c r="E5" s="94">
        <v>4</v>
      </c>
      <c r="F5" s="94">
        <v>5</v>
      </c>
      <c r="G5" s="94">
        <v>6</v>
      </c>
      <c r="H5" s="94">
        <v>7</v>
      </c>
      <c r="I5" s="94">
        <v>8</v>
      </c>
      <c r="J5" s="94">
        <v>9</v>
      </c>
      <c r="K5" s="94">
        <v>10</v>
      </c>
      <c r="L5" s="94">
        <v>11</v>
      </c>
      <c r="M5" s="94">
        <v>12</v>
      </c>
      <c r="N5" s="94">
        <v>13</v>
      </c>
      <c r="O5" s="94">
        <v>14</v>
      </c>
      <c r="P5" s="94">
        <v>15</v>
      </c>
      <c r="Q5" s="94">
        <v>16</v>
      </c>
      <c r="R5" s="94">
        <v>17</v>
      </c>
      <c r="S5" s="94">
        <v>18</v>
      </c>
      <c r="T5" s="95">
        <v>19</v>
      </c>
    </row>
    <row r="6" spans="2:20" ht="15.6" x14ac:dyDescent="0.3">
      <c r="B6" s="792">
        <v>1</v>
      </c>
      <c r="C6" s="390" t="s">
        <v>226</v>
      </c>
      <c r="D6" s="390">
        <v>3</v>
      </c>
      <c r="E6" s="390">
        <v>3</v>
      </c>
      <c r="F6" s="800">
        <v>394</v>
      </c>
      <c r="G6" s="800">
        <v>9065.4390000000003</v>
      </c>
      <c r="H6" s="98">
        <v>1.0352468553629876E-2</v>
      </c>
      <c r="I6" s="793">
        <v>165</v>
      </c>
      <c r="J6" s="800">
        <v>8910</v>
      </c>
      <c r="K6" s="794">
        <v>6.5</v>
      </c>
      <c r="L6" s="800">
        <v>58925.35349999999</v>
      </c>
      <c r="M6" s="795">
        <v>67835.353499999997</v>
      </c>
      <c r="N6" s="101">
        <v>7.4828536709584608</v>
      </c>
      <c r="O6" s="800">
        <v>0</v>
      </c>
      <c r="P6" s="800">
        <v>0</v>
      </c>
      <c r="Q6" s="800">
        <v>0</v>
      </c>
      <c r="R6" s="800">
        <v>0</v>
      </c>
      <c r="S6" s="795">
        <v>67835.353499999997</v>
      </c>
      <c r="T6" s="776">
        <v>7.4828536709584608</v>
      </c>
    </row>
    <row r="7" spans="2:20" ht="15.6" x14ac:dyDescent="0.3">
      <c r="B7" s="104">
        <v>2</v>
      </c>
      <c r="C7" s="105" t="s">
        <v>227</v>
      </c>
      <c r="D7" s="63">
        <v>0</v>
      </c>
      <c r="E7" s="63">
        <v>0</v>
      </c>
      <c r="F7" s="65">
        <v>0</v>
      </c>
      <c r="G7" s="65">
        <v>0</v>
      </c>
      <c r="H7" s="98">
        <v>0</v>
      </c>
      <c r="I7" s="107">
        <v>120</v>
      </c>
      <c r="J7" s="65">
        <v>0</v>
      </c>
      <c r="K7" s="108">
        <v>6.5</v>
      </c>
      <c r="L7" s="65">
        <v>0</v>
      </c>
      <c r="M7" s="99">
        <v>0</v>
      </c>
      <c r="N7" s="101"/>
      <c r="O7" s="65">
        <v>0</v>
      </c>
      <c r="P7" s="65">
        <v>0</v>
      </c>
      <c r="Q7" s="65">
        <v>0</v>
      </c>
      <c r="R7" s="65">
        <v>0</v>
      </c>
      <c r="S7" s="99">
        <v>0</v>
      </c>
      <c r="T7" s="229">
        <v>0</v>
      </c>
    </row>
    <row r="8" spans="2:20" ht="15.6" x14ac:dyDescent="0.3">
      <c r="B8" s="104">
        <v>3</v>
      </c>
      <c r="C8" s="105" t="s">
        <v>228</v>
      </c>
      <c r="D8" s="63">
        <v>7</v>
      </c>
      <c r="E8" s="63">
        <v>7</v>
      </c>
      <c r="F8" s="65">
        <v>5177.9199999999992</v>
      </c>
      <c r="G8" s="65">
        <v>497255.70000000007</v>
      </c>
      <c r="H8" s="98">
        <v>0.56785159520274886</v>
      </c>
      <c r="I8" s="107">
        <v>200</v>
      </c>
      <c r="J8" s="65">
        <v>998918</v>
      </c>
      <c r="K8" s="108">
        <v>6.6</v>
      </c>
      <c r="L8" s="65">
        <v>3294297.7649999997</v>
      </c>
      <c r="M8" s="99">
        <v>4293215.7649999997</v>
      </c>
      <c r="N8" s="101">
        <v>8.6338191095647545</v>
      </c>
      <c r="O8" s="65">
        <v>0</v>
      </c>
      <c r="P8" s="65">
        <v>8458.7906449325274</v>
      </c>
      <c r="Q8" s="65">
        <v>0</v>
      </c>
      <c r="R8" s="65">
        <v>0</v>
      </c>
      <c r="S8" s="99">
        <v>4284756.9743550671</v>
      </c>
      <c r="T8" s="229">
        <v>8.6168081619880201</v>
      </c>
    </row>
    <row r="9" spans="2:20" ht="15.6" x14ac:dyDescent="0.3">
      <c r="B9" s="104">
        <v>4</v>
      </c>
      <c r="C9" s="105" t="s">
        <v>229</v>
      </c>
      <c r="D9" s="63">
        <v>0</v>
      </c>
      <c r="E9" s="63">
        <v>0</v>
      </c>
      <c r="F9" s="65">
        <v>0</v>
      </c>
      <c r="G9" s="65">
        <v>0</v>
      </c>
      <c r="H9" s="98">
        <v>0</v>
      </c>
      <c r="I9" s="107">
        <v>80</v>
      </c>
      <c r="J9" s="65">
        <v>0</v>
      </c>
      <c r="K9" s="108">
        <v>6.65</v>
      </c>
      <c r="L9" s="65">
        <v>0</v>
      </c>
      <c r="M9" s="99">
        <v>0</v>
      </c>
      <c r="N9" s="101"/>
      <c r="O9" s="65">
        <v>0</v>
      </c>
      <c r="P9" s="65">
        <v>0</v>
      </c>
      <c r="Q9" s="65">
        <v>0</v>
      </c>
      <c r="R9" s="65">
        <v>0</v>
      </c>
      <c r="S9" s="99">
        <v>0</v>
      </c>
      <c r="T9" s="229">
        <v>0</v>
      </c>
    </row>
    <row r="10" spans="2:20" ht="15.6" x14ac:dyDescent="0.3">
      <c r="B10" s="104">
        <v>5</v>
      </c>
      <c r="C10" s="105" t="s">
        <v>230</v>
      </c>
      <c r="D10" s="63">
        <v>0</v>
      </c>
      <c r="E10" s="63">
        <v>0</v>
      </c>
      <c r="F10" s="65">
        <v>0</v>
      </c>
      <c r="G10" s="65">
        <v>0</v>
      </c>
      <c r="H10" s="98">
        <v>0</v>
      </c>
      <c r="I10" s="107">
        <v>105</v>
      </c>
      <c r="J10" s="65">
        <v>0</v>
      </c>
      <c r="K10" s="108">
        <v>7.15</v>
      </c>
      <c r="L10" s="65">
        <v>0</v>
      </c>
      <c r="M10" s="99">
        <v>0</v>
      </c>
      <c r="N10" s="101"/>
      <c r="O10" s="65">
        <v>0</v>
      </c>
      <c r="P10" s="65">
        <v>0</v>
      </c>
      <c r="Q10" s="65">
        <v>0</v>
      </c>
      <c r="R10" s="65">
        <v>0</v>
      </c>
      <c r="S10" s="99">
        <v>0</v>
      </c>
      <c r="T10" s="229">
        <v>0</v>
      </c>
    </row>
    <row r="11" spans="2:20" ht="15.6" x14ac:dyDescent="0.3">
      <c r="B11" s="104">
        <v>6</v>
      </c>
      <c r="C11" s="105" t="s">
        <v>231</v>
      </c>
      <c r="D11" s="63">
        <v>0</v>
      </c>
      <c r="E11" s="63">
        <v>0</v>
      </c>
      <c r="F11" s="65">
        <v>0</v>
      </c>
      <c r="G11" s="65">
        <v>0</v>
      </c>
      <c r="H11" s="98">
        <v>0</v>
      </c>
      <c r="I11" s="107">
        <v>190</v>
      </c>
      <c r="J11" s="65">
        <v>0</v>
      </c>
      <c r="K11" s="108">
        <v>8.65</v>
      </c>
      <c r="L11" s="65">
        <v>0</v>
      </c>
      <c r="M11" s="99">
        <v>0</v>
      </c>
      <c r="N11" s="101"/>
      <c r="O11" s="65">
        <v>0</v>
      </c>
      <c r="P11" s="65">
        <v>0</v>
      </c>
      <c r="Q11" s="65">
        <v>0</v>
      </c>
      <c r="R11" s="65">
        <v>0</v>
      </c>
      <c r="S11" s="99">
        <v>0</v>
      </c>
      <c r="T11" s="229">
        <v>0</v>
      </c>
    </row>
    <row r="12" spans="2:20" ht="15.6" x14ac:dyDescent="0.3">
      <c r="B12" s="104">
        <v>7</v>
      </c>
      <c r="C12" s="105" t="s">
        <v>232</v>
      </c>
      <c r="D12" s="63">
        <v>5</v>
      </c>
      <c r="E12" s="63">
        <v>5</v>
      </c>
      <c r="F12" s="65">
        <v>60.5</v>
      </c>
      <c r="G12" s="65">
        <v>4667</v>
      </c>
      <c r="H12" s="98">
        <v>5.3295787153595803E-3</v>
      </c>
      <c r="I12" s="107">
        <v>90</v>
      </c>
      <c r="J12" s="65">
        <v>5065</v>
      </c>
      <c r="K12" s="108">
        <v>9.25</v>
      </c>
      <c r="L12" s="65">
        <v>33171.75</v>
      </c>
      <c r="M12" s="99">
        <v>38236.75</v>
      </c>
      <c r="N12" s="101">
        <v>8.1930040711377767</v>
      </c>
      <c r="O12" s="65">
        <v>0</v>
      </c>
      <c r="P12" s="65">
        <v>0</v>
      </c>
      <c r="Q12" s="65">
        <v>0</v>
      </c>
      <c r="R12" s="65">
        <v>0</v>
      </c>
      <c r="S12" s="99">
        <v>38236.75</v>
      </c>
      <c r="T12" s="229">
        <v>0</v>
      </c>
    </row>
    <row r="13" spans="2:20" ht="15.6" x14ac:dyDescent="0.3">
      <c r="B13" s="104">
        <v>8</v>
      </c>
      <c r="C13" s="105" t="s">
        <v>233</v>
      </c>
      <c r="D13" s="63">
        <v>0</v>
      </c>
      <c r="E13" s="63">
        <v>0</v>
      </c>
      <c r="F13" s="65">
        <v>0</v>
      </c>
      <c r="G13" s="65">
        <v>0</v>
      </c>
      <c r="H13" s="98">
        <v>0</v>
      </c>
      <c r="I13" s="107">
        <v>90</v>
      </c>
      <c r="J13" s="65">
        <v>0</v>
      </c>
      <c r="K13" s="108">
        <v>9.4</v>
      </c>
      <c r="L13" s="65">
        <v>0</v>
      </c>
      <c r="M13" s="99">
        <v>0</v>
      </c>
      <c r="N13" s="101"/>
      <c r="O13" s="65">
        <v>0</v>
      </c>
      <c r="P13" s="65">
        <v>0</v>
      </c>
      <c r="Q13" s="65">
        <v>0</v>
      </c>
      <c r="R13" s="65">
        <v>0</v>
      </c>
      <c r="S13" s="99">
        <v>0</v>
      </c>
      <c r="T13" s="229">
        <v>0</v>
      </c>
    </row>
    <row r="14" spans="2:20" ht="15.6" x14ac:dyDescent="0.3">
      <c r="B14" s="104">
        <v>9</v>
      </c>
      <c r="C14" s="105" t="s">
        <v>234</v>
      </c>
      <c r="D14" s="63">
        <v>30</v>
      </c>
      <c r="E14" s="63">
        <v>30</v>
      </c>
      <c r="F14" s="65">
        <v>3766.9999999999991</v>
      </c>
      <c r="G14" s="65">
        <v>214962.973</v>
      </c>
      <c r="H14" s="98">
        <v>0.24548148392783717</v>
      </c>
      <c r="I14" s="107">
        <v>180</v>
      </c>
      <c r="J14" s="65">
        <v>658259.00000000012</v>
      </c>
      <c r="K14" s="108">
        <v>9.25</v>
      </c>
      <c r="L14" s="65">
        <v>1922349.8549500001</v>
      </c>
      <c r="M14" s="99">
        <v>2580608.8549500001</v>
      </c>
      <c r="N14" s="101">
        <v>12.004899350503495</v>
      </c>
      <c r="O14" s="65">
        <v>0</v>
      </c>
      <c r="P14" s="65">
        <v>0</v>
      </c>
      <c r="Q14" s="65">
        <v>0</v>
      </c>
      <c r="R14" s="65">
        <v>0</v>
      </c>
      <c r="S14" s="99">
        <v>2580608.8549500001</v>
      </c>
      <c r="T14" s="229">
        <v>12.004899350503495</v>
      </c>
    </row>
    <row r="15" spans="2:20" ht="15.6" x14ac:dyDescent="0.3">
      <c r="B15" s="104">
        <v>10</v>
      </c>
      <c r="C15" s="105" t="s">
        <v>235</v>
      </c>
      <c r="D15" s="63">
        <v>1</v>
      </c>
      <c r="E15" s="63">
        <v>1</v>
      </c>
      <c r="F15" s="65">
        <v>840</v>
      </c>
      <c r="G15" s="65">
        <v>51251.96</v>
      </c>
      <c r="H15" s="98">
        <v>5.8528252654051975E-2</v>
      </c>
      <c r="I15" s="107">
        <v>175</v>
      </c>
      <c r="J15" s="65">
        <v>139650</v>
      </c>
      <c r="K15" s="108">
        <v>9.4</v>
      </c>
      <c r="L15" s="65">
        <v>481768.424</v>
      </c>
      <c r="M15" s="99">
        <v>621418.424</v>
      </c>
      <c r="N15" s="101">
        <v>12.124773842795475</v>
      </c>
      <c r="O15" s="65">
        <v>0</v>
      </c>
      <c r="P15" s="65">
        <v>0</v>
      </c>
      <c r="Q15" s="65">
        <v>0</v>
      </c>
      <c r="R15" s="65">
        <v>0</v>
      </c>
      <c r="S15" s="99">
        <v>621418.424</v>
      </c>
      <c r="T15" s="229">
        <v>12.124773842795475</v>
      </c>
    </row>
    <row r="16" spans="2:20" ht="15.6" x14ac:dyDescent="0.3">
      <c r="B16" s="104">
        <v>11</v>
      </c>
      <c r="C16" s="105" t="s">
        <v>236</v>
      </c>
      <c r="D16" s="63">
        <v>0</v>
      </c>
      <c r="E16" s="63">
        <v>0</v>
      </c>
      <c r="F16" s="65">
        <v>0</v>
      </c>
      <c r="G16" s="65">
        <v>0</v>
      </c>
      <c r="H16" s="98">
        <v>0</v>
      </c>
      <c r="I16" s="107">
        <v>60</v>
      </c>
      <c r="J16" s="65">
        <v>0</v>
      </c>
      <c r="K16" s="108">
        <v>6.7</v>
      </c>
      <c r="L16" s="65">
        <v>0</v>
      </c>
      <c r="M16" s="99">
        <v>0</v>
      </c>
      <c r="N16" s="101"/>
      <c r="O16" s="65">
        <v>0</v>
      </c>
      <c r="P16" s="65">
        <v>0</v>
      </c>
      <c r="Q16" s="65">
        <v>0</v>
      </c>
      <c r="R16" s="65">
        <v>0</v>
      </c>
      <c r="S16" s="99">
        <v>0</v>
      </c>
      <c r="T16" s="229">
        <v>0</v>
      </c>
    </row>
    <row r="17" spans="2:21" ht="15.6" x14ac:dyDescent="0.3">
      <c r="B17" s="104">
        <v>12</v>
      </c>
      <c r="C17" s="105" t="s">
        <v>237</v>
      </c>
      <c r="D17" s="63">
        <v>0</v>
      </c>
      <c r="E17" s="63">
        <v>0</v>
      </c>
      <c r="F17" s="65">
        <v>0</v>
      </c>
      <c r="G17" s="65">
        <v>0</v>
      </c>
      <c r="H17" s="98">
        <v>0</v>
      </c>
      <c r="I17" s="107">
        <v>140</v>
      </c>
      <c r="J17" s="65">
        <v>0</v>
      </c>
      <c r="K17" s="108">
        <v>5.8</v>
      </c>
      <c r="L17" s="65">
        <v>0</v>
      </c>
      <c r="M17" s="99">
        <v>0</v>
      </c>
      <c r="N17" s="101"/>
      <c r="O17" s="65">
        <v>0</v>
      </c>
      <c r="P17" s="65">
        <v>0</v>
      </c>
      <c r="Q17" s="65">
        <v>0</v>
      </c>
      <c r="R17" s="65">
        <v>0</v>
      </c>
      <c r="S17" s="99">
        <v>0</v>
      </c>
      <c r="T17" s="229">
        <v>0</v>
      </c>
    </row>
    <row r="18" spans="2:21" ht="15.6" x14ac:dyDescent="0.3">
      <c r="B18" s="104">
        <v>13</v>
      </c>
      <c r="C18" s="105" t="s">
        <v>238</v>
      </c>
      <c r="D18" s="63">
        <v>2</v>
      </c>
      <c r="E18" s="63">
        <v>2</v>
      </c>
      <c r="F18" s="65">
        <v>360</v>
      </c>
      <c r="G18" s="65">
        <v>25041.200000000001</v>
      </c>
      <c r="H18" s="98">
        <v>2.8596324518333473E-2</v>
      </c>
      <c r="I18" s="107">
        <v>85</v>
      </c>
      <c r="J18" s="65">
        <v>29550</v>
      </c>
      <c r="K18" s="108">
        <v>5.8</v>
      </c>
      <c r="L18" s="65">
        <v>145238.96</v>
      </c>
      <c r="M18" s="99">
        <v>174788.96</v>
      </c>
      <c r="N18" s="101">
        <v>6.9800552689168249</v>
      </c>
      <c r="O18" s="65">
        <v>0</v>
      </c>
      <c r="P18" s="65">
        <v>0</v>
      </c>
      <c r="Q18" s="65">
        <v>0</v>
      </c>
      <c r="R18" s="65">
        <v>0</v>
      </c>
      <c r="S18" s="99">
        <v>174788.96</v>
      </c>
      <c r="T18" s="229">
        <v>6.9800552689168249</v>
      </c>
    </row>
    <row r="19" spans="2:21" ht="15.6" x14ac:dyDescent="0.3">
      <c r="B19" s="104">
        <v>14</v>
      </c>
      <c r="C19" s="105" t="s">
        <v>239</v>
      </c>
      <c r="D19" s="63">
        <v>1</v>
      </c>
      <c r="E19" s="63">
        <v>1</v>
      </c>
      <c r="F19" s="65">
        <v>521</v>
      </c>
      <c r="G19" s="65">
        <v>124.69799999999999</v>
      </c>
      <c r="H19" s="98">
        <v>1.4240150131731495E-4</v>
      </c>
      <c r="I19" s="107">
        <v>200</v>
      </c>
      <c r="J19" s="65">
        <v>99385</v>
      </c>
      <c r="K19" s="108">
        <v>5.85</v>
      </c>
      <c r="L19" s="65">
        <v>729.48329999999987</v>
      </c>
      <c r="M19" s="99">
        <v>100114.48329999999</v>
      </c>
      <c r="N19" s="101">
        <v>802.85556544611779</v>
      </c>
      <c r="O19" s="65">
        <v>0</v>
      </c>
      <c r="P19" s="65">
        <v>0</v>
      </c>
      <c r="Q19" s="65">
        <v>0</v>
      </c>
      <c r="R19" s="65">
        <v>0</v>
      </c>
      <c r="S19" s="99">
        <v>100114.48329999999</v>
      </c>
      <c r="T19" s="229">
        <v>0</v>
      </c>
    </row>
    <row r="20" spans="2:21" ht="15.6" x14ac:dyDescent="0.3">
      <c r="B20" s="104">
        <v>15</v>
      </c>
      <c r="C20" s="105" t="s">
        <v>294</v>
      </c>
      <c r="D20" s="63">
        <v>0</v>
      </c>
      <c r="E20" s="63">
        <v>0</v>
      </c>
      <c r="F20" s="65">
        <v>0</v>
      </c>
      <c r="G20" s="65">
        <v>0</v>
      </c>
      <c r="H20" s="98">
        <v>0</v>
      </c>
      <c r="I20" s="107">
        <v>165</v>
      </c>
      <c r="J20" s="65">
        <v>0</v>
      </c>
      <c r="K20" s="108">
        <v>8.6</v>
      </c>
      <c r="L20" s="65">
        <v>0</v>
      </c>
      <c r="M20" s="99">
        <v>0</v>
      </c>
      <c r="N20" s="101"/>
      <c r="O20" s="65">
        <v>0</v>
      </c>
      <c r="P20" s="65">
        <v>0</v>
      </c>
      <c r="Q20" s="65">
        <v>0</v>
      </c>
      <c r="R20" s="65">
        <v>0</v>
      </c>
      <c r="S20" s="99">
        <v>0</v>
      </c>
      <c r="T20" s="67">
        <v>0</v>
      </c>
    </row>
    <row r="21" spans="2:21" ht="15.6" x14ac:dyDescent="0.3">
      <c r="B21" s="104">
        <v>16</v>
      </c>
      <c r="C21" s="105" t="s">
        <v>453</v>
      </c>
      <c r="D21" s="63">
        <v>0</v>
      </c>
      <c r="E21" s="63">
        <v>0</v>
      </c>
      <c r="F21" s="65">
        <v>0</v>
      </c>
      <c r="G21" s="65">
        <v>0</v>
      </c>
      <c r="H21" s="98">
        <v>0</v>
      </c>
      <c r="I21" s="107">
        <v>700</v>
      </c>
      <c r="J21" s="65">
        <v>0</v>
      </c>
      <c r="K21" s="108">
        <v>12.5</v>
      </c>
      <c r="L21" s="65">
        <v>0</v>
      </c>
      <c r="M21" s="99">
        <v>0</v>
      </c>
      <c r="N21" s="101"/>
      <c r="O21" s="65">
        <v>0</v>
      </c>
      <c r="P21" s="65">
        <v>0</v>
      </c>
      <c r="Q21" s="65">
        <v>0</v>
      </c>
      <c r="R21" s="65">
        <v>0</v>
      </c>
      <c r="S21" s="99">
        <v>0</v>
      </c>
      <c r="T21" s="67">
        <v>0</v>
      </c>
    </row>
    <row r="22" spans="2:21" s="73" customFormat="1" ht="15.6" x14ac:dyDescent="0.3">
      <c r="B22" s="104">
        <v>17</v>
      </c>
      <c r="C22" s="105" t="s">
        <v>550</v>
      </c>
      <c r="D22" s="97">
        <v>0</v>
      </c>
      <c r="E22" s="63">
        <v>0</v>
      </c>
      <c r="F22" s="97">
        <v>0</v>
      </c>
      <c r="G22" s="65">
        <v>0</v>
      </c>
      <c r="H22" s="98">
        <v>0</v>
      </c>
      <c r="I22" s="107">
        <v>100</v>
      </c>
      <c r="J22" s="65">
        <v>0</v>
      </c>
      <c r="K22" s="108">
        <v>5.5</v>
      </c>
      <c r="L22" s="65">
        <v>0</v>
      </c>
      <c r="M22" s="99">
        <v>0</v>
      </c>
      <c r="N22" s="109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229">
        <v>0</v>
      </c>
      <c r="U22" s="660"/>
    </row>
    <row r="23" spans="2:21" ht="15.6" x14ac:dyDescent="0.3">
      <c r="B23" s="104">
        <v>18</v>
      </c>
      <c r="C23" s="105" t="s">
        <v>214</v>
      </c>
      <c r="D23" s="63">
        <v>1</v>
      </c>
      <c r="E23" s="63">
        <v>1</v>
      </c>
      <c r="F23" s="65">
        <v>340</v>
      </c>
      <c r="G23" s="65">
        <v>58640.000000000015</v>
      </c>
      <c r="H23" s="98">
        <v>6.6965180173277447E-2</v>
      </c>
      <c r="I23" s="107">
        <v>200</v>
      </c>
      <c r="J23" s="65">
        <v>68000</v>
      </c>
      <c r="K23" s="108">
        <v>6.6</v>
      </c>
      <c r="L23" s="65">
        <v>387024.00000000012</v>
      </c>
      <c r="M23" s="99">
        <v>455024.00000000012</v>
      </c>
      <c r="N23" s="101"/>
      <c r="O23" s="65">
        <v>0</v>
      </c>
      <c r="P23" s="65">
        <v>0</v>
      </c>
      <c r="Q23" s="65">
        <v>0</v>
      </c>
      <c r="R23" s="65">
        <v>0</v>
      </c>
      <c r="S23" s="99">
        <v>455024.00000000012</v>
      </c>
      <c r="T23" s="229">
        <v>7.759618008185539</v>
      </c>
    </row>
    <row r="24" spans="2:21" ht="16.2" thickBot="1" x14ac:dyDescent="0.35">
      <c r="B24" s="112">
        <v>19</v>
      </c>
      <c r="C24" s="314" t="s">
        <v>53</v>
      </c>
      <c r="D24" s="796">
        <v>1</v>
      </c>
      <c r="E24" s="796">
        <v>1</v>
      </c>
      <c r="F24" s="801">
        <v>132</v>
      </c>
      <c r="G24" s="801">
        <v>14670</v>
      </c>
      <c r="H24" s="98">
        <v>1.6752714753444406E-2</v>
      </c>
      <c r="I24" s="797">
        <v>90</v>
      </c>
      <c r="J24" s="801">
        <v>975</v>
      </c>
      <c r="K24" s="798">
        <v>4.8</v>
      </c>
      <c r="L24" s="801">
        <v>69566</v>
      </c>
      <c r="M24" s="799">
        <v>70541</v>
      </c>
      <c r="N24" s="101">
        <v>4.8085207907293794</v>
      </c>
      <c r="O24" s="801">
        <v>0</v>
      </c>
      <c r="P24" s="801">
        <v>0</v>
      </c>
      <c r="Q24" s="801">
        <v>0</v>
      </c>
      <c r="R24" s="801">
        <v>0</v>
      </c>
      <c r="S24" s="799">
        <v>70541</v>
      </c>
      <c r="T24" s="777">
        <v>4.8085207907293794</v>
      </c>
    </row>
    <row r="25" spans="2:21" ht="16.2" thickBot="1" x14ac:dyDescent="0.35">
      <c r="B25" s="119">
        <v>20</v>
      </c>
      <c r="C25" s="120" t="s">
        <v>305</v>
      </c>
      <c r="D25" s="120">
        <v>51</v>
      </c>
      <c r="E25" s="120">
        <v>51</v>
      </c>
      <c r="F25" s="232">
        <v>11592.419999999998</v>
      </c>
      <c r="G25" s="232">
        <v>875678.97</v>
      </c>
      <c r="H25" s="122">
        <v>1</v>
      </c>
      <c r="I25" s="123"/>
      <c r="J25" s="124">
        <v>2008712</v>
      </c>
      <c r="K25" s="121"/>
      <c r="L25" s="124">
        <v>6393071.5907499995</v>
      </c>
      <c r="M25" s="124">
        <v>8401783.5907499995</v>
      </c>
      <c r="N25" s="125"/>
      <c r="O25" s="232">
        <v>0</v>
      </c>
      <c r="P25" s="232">
        <v>8458.7906449325274</v>
      </c>
      <c r="Q25" s="232">
        <v>0</v>
      </c>
      <c r="R25" s="232">
        <v>0</v>
      </c>
      <c r="S25" s="232">
        <v>8393324.800105067</v>
      </c>
      <c r="T25" s="233">
        <v>9.5849336202570523</v>
      </c>
      <c r="U25" s="614"/>
    </row>
    <row r="26" spans="2:21" ht="15.6" x14ac:dyDescent="0.3">
      <c r="B26" s="96">
        <v>21</v>
      </c>
      <c r="C26" s="63" t="s">
        <v>309</v>
      </c>
      <c r="D26" s="63">
        <v>0</v>
      </c>
      <c r="E26" s="63">
        <v>0</v>
      </c>
      <c r="F26" s="63">
        <v>0</v>
      </c>
      <c r="G26" s="63">
        <v>0</v>
      </c>
      <c r="H26" s="114">
        <v>0</v>
      </c>
      <c r="I26" s="97">
        <v>410</v>
      </c>
      <c r="J26" s="99">
        <v>0</v>
      </c>
      <c r="K26" s="100">
        <v>6.6</v>
      </c>
      <c r="L26" s="99">
        <v>0</v>
      </c>
      <c r="M26" s="99">
        <v>0</v>
      </c>
      <c r="N26" s="101"/>
      <c r="O26" s="65">
        <v>0</v>
      </c>
      <c r="P26" s="65">
        <v>0</v>
      </c>
      <c r="Q26" s="230">
        <v>0</v>
      </c>
      <c r="R26" s="230">
        <v>0</v>
      </c>
      <c r="S26" s="99">
        <v>0</v>
      </c>
      <c r="T26" s="67" t="s">
        <v>436</v>
      </c>
    </row>
    <row r="27" spans="2:21" ht="15.6" x14ac:dyDescent="0.3">
      <c r="B27" s="104">
        <v>22</v>
      </c>
      <c r="C27" s="105" t="s">
        <v>308</v>
      </c>
      <c r="D27" s="105">
        <v>1</v>
      </c>
      <c r="E27" s="63">
        <v>1</v>
      </c>
      <c r="F27" s="28">
        <v>5400</v>
      </c>
      <c r="G27" s="28">
        <v>1279650</v>
      </c>
      <c r="H27" s="114">
        <v>0.35549684549159494</v>
      </c>
      <c r="I27" s="107">
        <v>440</v>
      </c>
      <c r="J27" s="28">
        <v>1881228.5999999999</v>
      </c>
      <c r="K27" s="108">
        <v>6.05</v>
      </c>
      <c r="L27" s="28">
        <v>7650561.3849999998</v>
      </c>
      <c r="M27" s="99">
        <v>9531789.9849999994</v>
      </c>
      <c r="N27" s="117">
        <v>7.4487476927284799</v>
      </c>
      <c r="O27" s="28">
        <v>0</v>
      </c>
      <c r="P27" s="28">
        <v>179028.10511126791</v>
      </c>
      <c r="Q27" s="28">
        <v>0</v>
      </c>
      <c r="R27" s="28">
        <v>0</v>
      </c>
      <c r="S27" s="99">
        <v>9352761.879888732</v>
      </c>
      <c r="T27" s="229">
        <v>7.3088437306206631</v>
      </c>
    </row>
    <row r="28" spans="2:21" ht="15.6" x14ac:dyDescent="0.3">
      <c r="B28" s="96">
        <v>23</v>
      </c>
      <c r="C28" s="113" t="s">
        <v>451</v>
      </c>
      <c r="D28" s="105">
        <v>1</v>
      </c>
      <c r="E28" s="63">
        <v>1</v>
      </c>
      <c r="F28" s="28">
        <v>6000</v>
      </c>
      <c r="G28" s="28">
        <v>2319960</v>
      </c>
      <c r="H28" s="114">
        <v>0.64450315450840512</v>
      </c>
      <c r="I28" s="115">
        <v>525</v>
      </c>
      <c r="J28" s="28">
        <v>2358008.3999999994</v>
      </c>
      <c r="K28" s="116">
        <v>7.8</v>
      </c>
      <c r="L28" s="28">
        <v>15814854</v>
      </c>
      <c r="M28" s="99">
        <v>18172862.399999999</v>
      </c>
      <c r="N28" s="117">
        <v>7.8332654011276048</v>
      </c>
      <c r="O28" s="28">
        <v>16305.700000000004</v>
      </c>
      <c r="P28" s="28">
        <v>246682.53904137376</v>
      </c>
      <c r="Q28" s="28">
        <v>150836.13422542688</v>
      </c>
      <c r="R28" s="28">
        <v>0</v>
      </c>
      <c r="S28" s="99">
        <v>18093321.695184052</v>
      </c>
      <c r="T28" s="229">
        <v>7.7989800234418061</v>
      </c>
    </row>
    <row r="29" spans="2:21" ht="16.2" thickBot="1" x14ac:dyDescent="0.35">
      <c r="B29" s="104">
        <v>24</v>
      </c>
      <c r="C29" s="113" t="s">
        <v>54</v>
      </c>
      <c r="D29" s="113">
        <v>0</v>
      </c>
      <c r="E29" s="63">
        <v>0</v>
      </c>
      <c r="F29" s="113">
        <v>0</v>
      </c>
      <c r="G29" s="113">
        <v>0</v>
      </c>
      <c r="H29" s="114">
        <v>0</v>
      </c>
      <c r="I29" s="115">
        <v>500</v>
      </c>
      <c r="J29" s="140">
        <v>0</v>
      </c>
      <c r="K29" s="116">
        <v>7.9</v>
      </c>
      <c r="L29" s="140">
        <v>0</v>
      </c>
      <c r="M29" s="99">
        <v>0</v>
      </c>
      <c r="N29" s="117"/>
      <c r="O29" s="65">
        <v>0</v>
      </c>
      <c r="P29" s="65">
        <v>0</v>
      </c>
      <c r="Q29" s="230">
        <v>0</v>
      </c>
      <c r="R29" s="230">
        <v>0</v>
      </c>
      <c r="S29" s="99">
        <v>0</v>
      </c>
      <c r="T29" s="231" t="s">
        <v>436</v>
      </c>
    </row>
    <row r="30" spans="2:21" ht="16.2" thickBot="1" x14ac:dyDescent="0.35">
      <c r="B30" s="128">
        <v>25</v>
      </c>
      <c r="C30" s="129" t="s">
        <v>306</v>
      </c>
      <c r="D30" s="129">
        <v>2</v>
      </c>
      <c r="E30" s="129">
        <v>2</v>
      </c>
      <c r="F30" s="129">
        <v>11400</v>
      </c>
      <c r="G30" s="129">
        <v>3599610</v>
      </c>
      <c r="H30" s="131">
        <v>1</v>
      </c>
      <c r="I30" s="130"/>
      <c r="J30" s="132">
        <v>4239236.9999999991</v>
      </c>
      <c r="K30" s="130"/>
      <c r="L30" s="132">
        <v>23465415.384999998</v>
      </c>
      <c r="M30" s="132">
        <v>27704652.384999998</v>
      </c>
      <c r="N30" s="133"/>
      <c r="O30" s="234">
        <v>16305.700000000004</v>
      </c>
      <c r="P30" s="234">
        <v>425710.64415264165</v>
      </c>
      <c r="Q30" s="234">
        <v>150836.13422542688</v>
      </c>
      <c r="R30" s="234"/>
      <c r="S30" s="234">
        <v>27446083.575072784</v>
      </c>
      <c r="T30" s="233">
        <v>7.6247381174829449</v>
      </c>
      <c r="U30" s="25"/>
    </row>
    <row r="31" spans="2:21" ht="16.2" thickBot="1" x14ac:dyDescent="0.35">
      <c r="B31" s="135">
        <v>26</v>
      </c>
      <c r="C31" s="136" t="s">
        <v>267</v>
      </c>
      <c r="D31" s="136">
        <v>53</v>
      </c>
      <c r="E31" s="136">
        <v>53</v>
      </c>
      <c r="F31" s="136">
        <v>22992.42</v>
      </c>
      <c r="G31" s="136">
        <v>4475288.97</v>
      </c>
      <c r="H31" s="136"/>
      <c r="I31" s="136"/>
      <c r="J31" s="137">
        <v>6247948.9999999991</v>
      </c>
      <c r="K31" s="136"/>
      <c r="L31" s="137">
        <v>29858486.975749999</v>
      </c>
      <c r="M31" s="137">
        <v>36106435.975749999</v>
      </c>
      <c r="N31" s="136">
        <v>8.0679563303707749</v>
      </c>
      <c r="O31" s="236">
        <v>16305.700000000004</v>
      </c>
      <c r="P31" s="236">
        <v>434169.43479757418</v>
      </c>
      <c r="Q31" s="236">
        <v>150836.13422542688</v>
      </c>
      <c r="R31" s="236">
        <v>0</v>
      </c>
      <c r="S31" s="236">
        <v>35839408.375177853</v>
      </c>
      <c r="T31" s="237">
        <v>8.0082892111384378</v>
      </c>
    </row>
    <row r="32" spans="2:21" ht="15.6" x14ac:dyDescent="0.3">
      <c r="B32" s="96">
        <v>27</v>
      </c>
      <c r="C32" s="63" t="s">
        <v>24</v>
      </c>
      <c r="D32" s="63"/>
      <c r="E32" s="63"/>
      <c r="F32" s="97"/>
      <c r="G32" s="97"/>
      <c r="H32" s="97"/>
      <c r="I32" s="97"/>
      <c r="J32" s="97"/>
      <c r="K32" s="97"/>
      <c r="L32" s="97"/>
      <c r="M32" s="97"/>
      <c r="N32" s="101"/>
      <c r="O32" s="65"/>
      <c r="P32" s="65"/>
      <c r="Q32" s="65"/>
      <c r="R32" s="65"/>
      <c r="S32" s="65">
        <v>2239440.7015750003</v>
      </c>
      <c r="T32" s="67"/>
    </row>
    <row r="33" spans="2:20" ht="15.6" x14ac:dyDescent="0.3">
      <c r="B33" s="104">
        <v>28</v>
      </c>
      <c r="C33" s="105" t="s">
        <v>25</v>
      </c>
      <c r="D33" s="105"/>
      <c r="E33" s="105"/>
      <c r="F33" s="107"/>
      <c r="G33" s="107"/>
      <c r="H33" s="107"/>
      <c r="I33" s="107"/>
      <c r="J33" s="107"/>
      <c r="K33" s="107"/>
      <c r="L33" s="107"/>
      <c r="M33" s="107"/>
      <c r="N33" s="107"/>
      <c r="O33" s="28"/>
      <c r="P33" s="28"/>
      <c r="Q33" s="28"/>
      <c r="R33" s="28"/>
      <c r="S33" s="28">
        <v>38078849.076752856</v>
      </c>
      <c r="T33" s="229"/>
    </row>
    <row r="34" spans="2:20" ht="16.2" thickBot="1" x14ac:dyDescent="0.35">
      <c r="B34" s="112">
        <v>29</v>
      </c>
      <c r="C34" s="113" t="s">
        <v>468</v>
      </c>
      <c r="D34" s="113"/>
      <c r="E34" s="113"/>
      <c r="F34" s="115"/>
      <c r="G34" s="115"/>
      <c r="H34" s="115"/>
      <c r="I34" s="115"/>
      <c r="J34" s="115"/>
      <c r="K34" s="115"/>
      <c r="L34" s="115"/>
      <c r="M34" s="115"/>
      <c r="N34" s="115"/>
      <c r="O34" s="230"/>
      <c r="P34" s="230"/>
      <c r="Q34" s="230"/>
      <c r="R34" s="230"/>
      <c r="S34" s="230">
        <v>0</v>
      </c>
      <c r="T34" s="231"/>
    </row>
    <row r="35" spans="2:20" ht="16.2" thickBot="1" x14ac:dyDescent="0.35">
      <c r="B35" s="119">
        <v>30</v>
      </c>
      <c r="C35" s="120" t="s">
        <v>307</v>
      </c>
      <c r="D35" s="120"/>
      <c r="E35" s="120"/>
      <c r="F35" s="121"/>
      <c r="G35" s="121"/>
      <c r="H35" s="121"/>
      <c r="I35" s="121"/>
      <c r="J35" s="121"/>
      <c r="K35" s="121"/>
      <c r="L35" s="121"/>
      <c r="M35" s="121"/>
      <c r="N35" s="121"/>
      <c r="O35" s="232"/>
      <c r="P35" s="232"/>
      <c r="Q35" s="232"/>
      <c r="R35" s="232"/>
      <c r="S35" s="232">
        <v>38078849.076752856</v>
      </c>
      <c r="T35" s="233"/>
    </row>
    <row r="37" spans="2:20" ht="18.600000000000001" hidden="1" thickBot="1" x14ac:dyDescent="0.4">
      <c r="Q37" s="224" t="s">
        <v>310</v>
      </c>
      <c r="R37" s="225"/>
      <c r="S37" s="238">
        <v>380.78849076752857</v>
      </c>
    </row>
    <row r="38" spans="2:20" x14ac:dyDescent="0.25">
      <c r="M38" s="103"/>
    </row>
    <row r="39" spans="2:20" x14ac:dyDescent="0.25">
      <c r="M39" s="103"/>
    </row>
    <row r="40" spans="2:20" x14ac:dyDescent="0.25">
      <c r="M40" s="103"/>
    </row>
    <row r="42" spans="2:20" ht="15.6" x14ac:dyDescent="0.3">
      <c r="B42" s="72"/>
      <c r="C42" s="73"/>
      <c r="D42" s="73"/>
      <c r="E42" s="73"/>
      <c r="F42" s="73"/>
      <c r="M42" s="74"/>
    </row>
    <row r="43" spans="2:20" ht="15.6" x14ac:dyDescent="0.3">
      <c r="B43" s="72"/>
      <c r="C43" s="73"/>
      <c r="D43" s="73"/>
      <c r="E43" s="73"/>
      <c r="F43" s="73"/>
      <c r="M43" s="75"/>
    </row>
    <row r="44" spans="2:20" ht="15.6" x14ac:dyDescent="0.3">
      <c r="B44" s="73"/>
      <c r="C44" s="73"/>
      <c r="D44" s="73"/>
      <c r="E44" s="73"/>
      <c r="F44" s="76"/>
      <c r="M44" s="73"/>
    </row>
    <row r="45" spans="2:20" ht="15.6" x14ac:dyDescent="0.3">
      <c r="B45" s="73"/>
      <c r="C45" s="73"/>
      <c r="D45" s="73"/>
      <c r="E45" s="73"/>
      <c r="F45" s="76"/>
      <c r="M45" s="73"/>
    </row>
    <row r="46" spans="2:20" ht="15.6" x14ac:dyDescent="0.3">
      <c r="B46" s="73"/>
      <c r="C46" s="73"/>
      <c r="D46" s="73"/>
      <c r="E46" s="73"/>
      <c r="F46" s="76"/>
      <c r="M46" s="73"/>
    </row>
    <row r="47" spans="2:20" ht="15.6" x14ac:dyDescent="0.3">
      <c r="B47" s="73"/>
      <c r="C47" s="73"/>
      <c r="D47" s="73"/>
      <c r="E47" s="73"/>
      <c r="F47" s="73"/>
      <c r="M47" s="73"/>
    </row>
    <row r="48" spans="2:20" ht="15.6" x14ac:dyDescent="0.3">
      <c r="B48" s="84"/>
      <c r="C48" s="77"/>
      <c r="D48" s="78"/>
      <c r="E48" s="73"/>
      <c r="F48" s="73"/>
      <c r="M48" s="79"/>
    </row>
    <row r="49" spans="2:13" ht="15.6" x14ac:dyDescent="0.3">
      <c r="B49" s="84"/>
      <c r="C49" s="80"/>
      <c r="D49" s="78"/>
      <c r="E49" s="73"/>
      <c r="F49" s="81"/>
      <c r="M49" s="79"/>
    </row>
    <row r="50" spans="2:13" ht="15.6" x14ac:dyDescent="0.3">
      <c r="B50" s="82"/>
      <c r="C50" s="82"/>
      <c r="D50" s="82"/>
      <c r="E50" s="82"/>
      <c r="F50" s="73"/>
      <c r="G50" s="73"/>
    </row>
    <row r="51" spans="2:13" ht="15.6" x14ac:dyDescent="0.3">
      <c r="B51" s="82"/>
      <c r="C51" s="82"/>
      <c r="D51" s="82"/>
      <c r="E51" s="73"/>
      <c r="F51" s="79"/>
      <c r="G51" s="73"/>
    </row>
    <row r="52" spans="2:13" ht="15.6" x14ac:dyDescent="0.3">
      <c r="B52" s="73"/>
      <c r="C52" s="82"/>
      <c r="D52" s="82"/>
      <c r="E52" s="73"/>
      <c r="F52" s="83"/>
      <c r="G52" s="73"/>
    </row>
    <row r="53" spans="2:13" ht="15.6" x14ac:dyDescent="0.3">
      <c r="C53" s="82"/>
      <c r="D53" s="82"/>
      <c r="E53" s="85"/>
      <c r="F53" s="83"/>
      <c r="G53" s="73"/>
    </row>
    <row r="54" spans="2:13" ht="15.6" x14ac:dyDescent="0.3">
      <c r="C54" s="82"/>
      <c r="D54" s="82"/>
      <c r="E54" s="82"/>
      <c r="F54" s="86"/>
      <c r="G54" s="73"/>
    </row>
  </sheetData>
  <mergeCells count="2">
    <mergeCell ref="B2:T2"/>
    <mergeCell ref="B3:T3"/>
  </mergeCells>
  <printOptions horizontalCentered="1" verticalCentered="1"/>
  <pageMargins left="0.7" right="0.7" top="0.75" bottom="0.75" header="0.3" footer="0.3"/>
  <pageSetup paperSize="8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C00000"/>
    <pageSetUpPr fitToPage="1"/>
  </sheetPr>
  <dimension ref="B1:U54"/>
  <sheetViews>
    <sheetView view="pageBreakPreview" zoomScale="60" zoomScaleNormal="70" workbookViewId="0">
      <selection sqref="A1:XFD1048576"/>
    </sheetView>
  </sheetViews>
  <sheetFormatPr defaultColWidth="9.109375" defaultRowHeight="13.8" x14ac:dyDescent="0.25"/>
  <cols>
    <col min="1" max="1" width="9.109375" style="1"/>
    <col min="2" max="2" width="9.21875" style="1" bestFit="1" customWidth="1"/>
    <col min="3" max="3" width="48.109375" style="1" bestFit="1" customWidth="1"/>
    <col min="4" max="4" width="6.6640625" style="1" bestFit="1" customWidth="1"/>
    <col min="5" max="5" width="7.21875" style="1" bestFit="1" customWidth="1"/>
    <col min="6" max="6" width="10.88671875" style="1" customWidth="1"/>
    <col min="7" max="7" width="14.88671875" style="1" bestFit="1" customWidth="1"/>
    <col min="8" max="8" width="10" style="1" bestFit="1" customWidth="1"/>
    <col min="9" max="9" width="8.88671875" style="1" bestFit="1" customWidth="1"/>
    <col min="10" max="10" width="12.88671875" style="1" bestFit="1" customWidth="1"/>
    <col min="11" max="11" width="11.33203125" style="1" bestFit="1" customWidth="1"/>
    <col min="12" max="13" width="12.88671875" style="1" bestFit="1" customWidth="1"/>
    <col min="14" max="14" width="8.88671875" style="1" bestFit="1" customWidth="1"/>
    <col min="15" max="15" width="13" style="1" customWidth="1"/>
    <col min="16" max="16" width="12.88671875" style="1" bestFit="1" customWidth="1"/>
    <col min="17" max="17" width="12.6640625" style="1" bestFit="1" customWidth="1"/>
    <col min="18" max="18" width="12.6640625" style="1" customWidth="1"/>
    <col min="19" max="19" width="15.88671875" style="1" bestFit="1" customWidth="1"/>
    <col min="20" max="20" width="10.21875" style="1" customWidth="1"/>
    <col min="21" max="16384" width="9.109375" style="1"/>
  </cols>
  <sheetData>
    <row r="1" spans="2:20" ht="14.4" thickBot="1" x14ac:dyDescent="0.3"/>
    <row r="2" spans="2:20" ht="16.2" thickBot="1" x14ac:dyDescent="0.35">
      <c r="B2" s="952" t="s">
        <v>535</v>
      </c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4"/>
    </row>
    <row r="3" spans="2:20" ht="16.2" thickBot="1" x14ac:dyDescent="0.35">
      <c r="B3" s="955" t="s">
        <v>216</v>
      </c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  <c r="O3" s="956"/>
      <c r="P3" s="956"/>
      <c r="Q3" s="956"/>
      <c r="R3" s="956"/>
      <c r="S3" s="956"/>
      <c r="T3" s="957"/>
    </row>
    <row r="4" spans="2:20" ht="109.8" x14ac:dyDescent="0.25">
      <c r="B4" s="87" t="s">
        <v>300</v>
      </c>
      <c r="C4" s="88" t="s">
        <v>1</v>
      </c>
      <c r="D4" s="89" t="s">
        <v>19</v>
      </c>
      <c r="E4" s="89" t="s">
        <v>20</v>
      </c>
      <c r="F4" s="90" t="s">
        <v>301</v>
      </c>
      <c r="G4" s="90" t="s">
        <v>208</v>
      </c>
      <c r="H4" s="90" t="s">
        <v>21</v>
      </c>
      <c r="I4" s="90" t="s">
        <v>314</v>
      </c>
      <c r="J4" s="90" t="s">
        <v>221</v>
      </c>
      <c r="K4" s="90" t="s">
        <v>315</v>
      </c>
      <c r="L4" s="90" t="s">
        <v>222</v>
      </c>
      <c r="M4" s="90" t="s">
        <v>55</v>
      </c>
      <c r="N4" s="90" t="s">
        <v>23</v>
      </c>
      <c r="O4" s="90" t="s">
        <v>302</v>
      </c>
      <c r="P4" s="90" t="s">
        <v>217</v>
      </c>
      <c r="Q4" s="90" t="s">
        <v>218</v>
      </c>
      <c r="R4" s="90" t="s">
        <v>452</v>
      </c>
      <c r="S4" s="90" t="s">
        <v>303</v>
      </c>
      <c r="T4" s="91" t="s">
        <v>304</v>
      </c>
    </row>
    <row r="5" spans="2:20" ht="16.2" thickBot="1" x14ac:dyDescent="0.35">
      <c r="B5" s="93">
        <v>1</v>
      </c>
      <c r="C5" s="94">
        <v>2</v>
      </c>
      <c r="D5" s="94">
        <v>3</v>
      </c>
      <c r="E5" s="94">
        <v>4</v>
      </c>
      <c r="F5" s="94">
        <v>5</v>
      </c>
      <c r="G5" s="94">
        <v>6</v>
      </c>
      <c r="H5" s="94">
        <v>7</v>
      </c>
      <c r="I5" s="94">
        <v>8</v>
      </c>
      <c r="J5" s="94">
        <v>9</v>
      </c>
      <c r="K5" s="94">
        <v>10</v>
      </c>
      <c r="L5" s="94">
        <v>11</v>
      </c>
      <c r="M5" s="94">
        <v>12</v>
      </c>
      <c r="N5" s="94">
        <v>13</v>
      </c>
      <c r="O5" s="94">
        <v>14</v>
      </c>
      <c r="P5" s="94">
        <v>15</v>
      </c>
      <c r="Q5" s="94">
        <v>16</v>
      </c>
      <c r="R5" s="94">
        <v>17</v>
      </c>
      <c r="S5" s="94">
        <v>18</v>
      </c>
      <c r="T5" s="95">
        <v>19</v>
      </c>
    </row>
    <row r="6" spans="2:20" ht="15.6" x14ac:dyDescent="0.3">
      <c r="B6" s="96">
        <v>1</v>
      </c>
      <c r="C6" s="63" t="s">
        <v>226</v>
      </c>
      <c r="D6" s="99">
        <v>29</v>
      </c>
      <c r="E6" s="63">
        <v>29</v>
      </c>
      <c r="F6" s="65">
        <v>2151.4939999999997</v>
      </c>
      <c r="G6" s="65">
        <v>59142.979399999982</v>
      </c>
      <c r="H6" s="98">
        <v>0.11516845392410652</v>
      </c>
      <c r="I6" s="97">
        <v>165</v>
      </c>
      <c r="J6" s="65">
        <v>54780</v>
      </c>
      <c r="K6" s="100">
        <v>6.5</v>
      </c>
      <c r="L6" s="65">
        <v>384429.36609999998</v>
      </c>
      <c r="M6" s="99">
        <v>439209.36609999998</v>
      </c>
      <c r="N6" s="101">
        <v>7.4262299694019154</v>
      </c>
      <c r="O6" s="65">
        <v>0</v>
      </c>
      <c r="P6" s="65">
        <v>0</v>
      </c>
      <c r="Q6" s="65">
        <v>0</v>
      </c>
      <c r="R6" s="65">
        <v>0</v>
      </c>
      <c r="S6" s="99">
        <v>439209.36609999998</v>
      </c>
      <c r="T6" s="776">
        <v>7.4262299694019154</v>
      </c>
    </row>
    <row r="7" spans="2:20" ht="15.6" x14ac:dyDescent="0.3">
      <c r="B7" s="104">
        <v>2</v>
      </c>
      <c r="C7" s="105" t="s">
        <v>227</v>
      </c>
      <c r="D7" s="99">
        <v>3</v>
      </c>
      <c r="E7" s="63">
        <v>3</v>
      </c>
      <c r="F7" s="65">
        <v>439.91999999999985</v>
      </c>
      <c r="G7" s="65">
        <v>2490.6430000000005</v>
      </c>
      <c r="H7" s="106">
        <v>4.8500009045350624E-3</v>
      </c>
      <c r="I7" s="107">
        <v>120</v>
      </c>
      <c r="J7" s="65">
        <v>52790.399999999987</v>
      </c>
      <c r="K7" s="108">
        <v>6.5</v>
      </c>
      <c r="L7" s="65">
        <v>16189.179500000006</v>
      </c>
      <c r="M7" s="99">
        <v>68979.579499999993</v>
      </c>
      <c r="N7" s="109">
        <v>27.695490481775181</v>
      </c>
      <c r="O7" s="65">
        <v>0</v>
      </c>
      <c r="P7" s="65">
        <v>0</v>
      </c>
      <c r="Q7" s="65">
        <v>0</v>
      </c>
      <c r="R7" s="65">
        <v>0</v>
      </c>
      <c r="S7" s="99">
        <v>68979.579499999993</v>
      </c>
      <c r="T7" s="229">
        <v>27.695490481775181</v>
      </c>
    </row>
    <row r="8" spans="2:20" ht="15.6" x14ac:dyDescent="0.3">
      <c r="B8" s="104">
        <v>3</v>
      </c>
      <c r="C8" s="105" t="s">
        <v>228</v>
      </c>
      <c r="D8" s="99">
        <v>8</v>
      </c>
      <c r="E8" s="63">
        <v>8</v>
      </c>
      <c r="F8" s="65">
        <v>10893.960000000001</v>
      </c>
      <c r="G8" s="65">
        <v>374018.79000000004</v>
      </c>
      <c r="H8" s="106">
        <v>0.7283225535787784</v>
      </c>
      <c r="I8" s="107">
        <v>200</v>
      </c>
      <c r="J8" s="65">
        <v>3243364.600000001</v>
      </c>
      <c r="K8" s="108">
        <v>6.6</v>
      </c>
      <c r="L8" s="65">
        <v>2546743.4355000001</v>
      </c>
      <c r="M8" s="99">
        <v>5790108.0355000012</v>
      </c>
      <c r="N8" s="109">
        <v>15.480794522382153</v>
      </c>
      <c r="O8" s="65">
        <v>0</v>
      </c>
      <c r="P8" s="65">
        <v>5755.6562458667659</v>
      </c>
      <c r="Q8" s="65">
        <v>216298.29125359916</v>
      </c>
      <c r="R8" s="65">
        <v>0</v>
      </c>
      <c r="S8" s="99">
        <v>6000650.6705077337</v>
      </c>
      <c r="T8" s="229">
        <v>16.04371446286892</v>
      </c>
    </row>
    <row r="9" spans="2:20" ht="15.6" x14ac:dyDescent="0.3">
      <c r="B9" s="104">
        <v>4</v>
      </c>
      <c r="C9" s="105" t="s">
        <v>229</v>
      </c>
      <c r="D9" s="139"/>
      <c r="E9" s="63">
        <v>0</v>
      </c>
      <c r="F9" s="28">
        <v>0</v>
      </c>
      <c r="G9" s="28">
        <v>0</v>
      </c>
      <c r="H9" s="106">
        <v>0</v>
      </c>
      <c r="I9" s="107">
        <v>80</v>
      </c>
      <c r="J9" s="28">
        <v>0</v>
      </c>
      <c r="K9" s="108">
        <v>6.65</v>
      </c>
      <c r="L9" s="28">
        <v>0</v>
      </c>
      <c r="M9" s="99">
        <v>0</v>
      </c>
      <c r="N9" s="65">
        <v>0</v>
      </c>
      <c r="O9" s="28">
        <v>0</v>
      </c>
      <c r="P9" s="28">
        <v>0</v>
      </c>
      <c r="Q9" s="28">
        <v>0</v>
      </c>
      <c r="R9" s="28">
        <v>0</v>
      </c>
      <c r="S9" s="99">
        <v>0</v>
      </c>
      <c r="T9" s="67">
        <v>0</v>
      </c>
    </row>
    <row r="10" spans="2:20" ht="15.6" x14ac:dyDescent="0.3">
      <c r="B10" s="104">
        <v>5</v>
      </c>
      <c r="C10" s="105" t="s">
        <v>230</v>
      </c>
      <c r="D10" s="139"/>
      <c r="E10" s="63">
        <v>0</v>
      </c>
      <c r="F10" s="28">
        <v>0</v>
      </c>
      <c r="G10" s="28">
        <v>0</v>
      </c>
      <c r="H10" s="106">
        <v>0</v>
      </c>
      <c r="I10" s="107">
        <v>105</v>
      </c>
      <c r="J10" s="28">
        <v>0</v>
      </c>
      <c r="K10" s="108">
        <v>7.15</v>
      </c>
      <c r="L10" s="28">
        <v>0</v>
      </c>
      <c r="M10" s="99">
        <v>0</v>
      </c>
      <c r="N10" s="65">
        <v>0</v>
      </c>
      <c r="O10" s="28">
        <v>0</v>
      </c>
      <c r="P10" s="28">
        <v>0</v>
      </c>
      <c r="Q10" s="28">
        <v>0</v>
      </c>
      <c r="R10" s="28">
        <v>0</v>
      </c>
      <c r="S10" s="99">
        <v>0</v>
      </c>
      <c r="T10" s="67">
        <v>0</v>
      </c>
    </row>
    <row r="11" spans="2:20" ht="15.6" x14ac:dyDescent="0.3">
      <c r="B11" s="104">
        <v>6</v>
      </c>
      <c r="C11" s="105" t="s">
        <v>231</v>
      </c>
      <c r="D11" s="139"/>
      <c r="E11" s="63">
        <v>0</v>
      </c>
      <c r="F11" s="28">
        <v>0</v>
      </c>
      <c r="G11" s="28">
        <v>0</v>
      </c>
      <c r="H11" s="106">
        <v>0</v>
      </c>
      <c r="I11" s="107">
        <v>190</v>
      </c>
      <c r="J11" s="28">
        <v>0</v>
      </c>
      <c r="K11" s="108">
        <v>8.65</v>
      </c>
      <c r="L11" s="28">
        <v>0</v>
      </c>
      <c r="M11" s="99">
        <v>0</v>
      </c>
      <c r="N11" s="65">
        <v>0</v>
      </c>
      <c r="O11" s="28">
        <v>0</v>
      </c>
      <c r="P11" s="28">
        <v>0</v>
      </c>
      <c r="Q11" s="28">
        <v>0</v>
      </c>
      <c r="R11" s="28">
        <v>0</v>
      </c>
      <c r="S11" s="99">
        <v>0</v>
      </c>
      <c r="T11" s="67">
        <v>0</v>
      </c>
    </row>
    <row r="12" spans="2:20" ht="15.6" x14ac:dyDescent="0.3">
      <c r="B12" s="104">
        <v>7</v>
      </c>
      <c r="C12" s="105" t="s">
        <v>232</v>
      </c>
      <c r="D12" s="139"/>
      <c r="E12" s="63">
        <v>0</v>
      </c>
      <c r="F12" s="28">
        <v>0</v>
      </c>
      <c r="G12" s="28">
        <v>0</v>
      </c>
      <c r="H12" s="106">
        <v>0</v>
      </c>
      <c r="I12" s="107">
        <v>90</v>
      </c>
      <c r="J12" s="28">
        <v>0</v>
      </c>
      <c r="K12" s="108">
        <v>9.25</v>
      </c>
      <c r="L12" s="28">
        <v>0</v>
      </c>
      <c r="M12" s="99">
        <v>0</v>
      </c>
      <c r="N12" s="65">
        <v>0</v>
      </c>
      <c r="O12" s="28">
        <v>0</v>
      </c>
      <c r="P12" s="28">
        <v>0</v>
      </c>
      <c r="Q12" s="28">
        <v>0</v>
      </c>
      <c r="R12" s="28">
        <v>0</v>
      </c>
      <c r="S12" s="99">
        <v>0</v>
      </c>
      <c r="T12" s="67">
        <v>0</v>
      </c>
    </row>
    <row r="13" spans="2:20" ht="15.6" x14ac:dyDescent="0.3">
      <c r="B13" s="104">
        <v>8</v>
      </c>
      <c r="C13" s="105" t="s">
        <v>233</v>
      </c>
      <c r="D13" s="139"/>
      <c r="E13" s="63">
        <v>0</v>
      </c>
      <c r="F13" s="28">
        <v>0</v>
      </c>
      <c r="G13" s="28">
        <v>0</v>
      </c>
      <c r="H13" s="106">
        <v>0</v>
      </c>
      <c r="I13" s="107">
        <v>90</v>
      </c>
      <c r="J13" s="28">
        <v>0</v>
      </c>
      <c r="K13" s="108">
        <v>9.4</v>
      </c>
      <c r="L13" s="28">
        <v>0</v>
      </c>
      <c r="M13" s="99">
        <v>0</v>
      </c>
      <c r="N13" s="65">
        <v>0</v>
      </c>
      <c r="O13" s="28">
        <v>0</v>
      </c>
      <c r="P13" s="28">
        <v>0</v>
      </c>
      <c r="Q13" s="28">
        <v>0</v>
      </c>
      <c r="R13" s="28">
        <v>0</v>
      </c>
      <c r="S13" s="99">
        <v>0</v>
      </c>
      <c r="T13" s="67">
        <v>0</v>
      </c>
    </row>
    <row r="14" spans="2:20" ht="15.6" x14ac:dyDescent="0.3">
      <c r="B14" s="104">
        <v>9</v>
      </c>
      <c r="C14" s="105" t="s">
        <v>234</v>
      </c>
      <c r="D14" s="139">
        <v>2</v>
      </c>
      <c r="E14" s="63">
        <v>2</v>
      </c>
      <c r="F14" s="28">
        <v>65</v>
      </c>
      <c r="G14" s="28">
        <v>1528.931</v>
      </c>
      <c r="H14" s="106">
        <v>2.9772700194173538E-3</v>
      </c>
      <c r="I14" s="107">
        <v>180</v>
      </c>
      <c r="J14" s="28">
        <v>11490</v>
      </c>
      <c r="K14" s="108">
        <v>9.25</v>
      </c>
      <c r="L14" s="28">
        <v>10156.925199999998</v>
      </c>
      <c r="M14" s="99">
        <v>21646.925199999998</v>
      </c>
      <c r="N14" s="65">
        <v>0</v>
      </c>
      <c r="O14" s="28">
        <v>0</v>
      </c>
      <c r="P14" s="28">
        <v>0</v>
      </c>
      <c r="Q14" s="28">
        <v>0</v>
      </c>
      <c r="R14" s="28">
        <v>0</v>
      </c>
      <c r="S14" s="99">
        <v>21646.925199999998</v>
      </c>
      <c r="T14" s="67">
        <v>0</v>
      </c>
    </row>
    <row r="15" spans="2:20" ht="15.6" x14ac:dyDescent="0.3">
      <c r="B15" s="104">
        <v>10</v>
      </c>
      <c r="C15" s="105" t="s">
        <v>235</v>
      </c>
      <c r="D15" s="99">
        <v>2</v>
      </c>
      <c r="E15" s="63">
        <v>2</v>
      </c>
      <c r="F15" s="65">
        <v>109.19999999999997</v>
      </c>
      <c r="G15" s="65">
        <v>54232.5</v>
      </c>
      <c r="H15" s="106">
        <v>0.10560633300525114</v>
      </c>
      <c r="I15" s="107">
        <v>175</v>
      </c>
      <c r="J15" s="65">
        <v>9191</v>
      </c>
      <c r="K15" s="108">
        <v>9.4</v>
      </c>
      <c r="L15" s="65">
        <v>507725.25000000012</v>
      </c>
      <c r="M15" s="99">
        <v>516916.25000000012</v>
      </c>
      <c r="N15" s="109">
        <v>9.5314848107684522</v>
      </c>
      <c r="O15" s="65">
        <v>0</v>
      </c>
      <c r="P15" s="65">
        <v>0</v>
      </c>
      <c r="Q15" s="65">
        <v>0</v>
      </c>
      <c r="R15" s="65">
        <v>0</v>
      </c>
      <c r="S15" s="99">
        <v>516916.25000000012</v>
      </c>
      <c r="T15" s="229">
        <v>9.5314848107684522</v>
      </c>
    </row>
    <row r="16" spans="2:20" ht="15.6" x14ac:dyDescent="0.3">
      <c r="B16" s="104">
        <v>11</v>
      </c>
      <c r="C16" s="105" t="s">
        <v>236</v>
      </c>
      <c r="D16" s="139"/>
      <c r="E16" s="63">
        <v>0</v>
      </c>
      <c r="F16" s="28"/>
      <c r="G16" s="28"/>
      <c r="H16" s="106">
        <v>0</v>
      </c>
      <c r="I16" s="107">
        <v>60</v>
      </c>
      <c r="J16" s="28"/>
      <c r="K16" s="108">
        <v>6.7</v>
      </c>
      <c r="L16" s="28"/>
      <c r="M16" s="99">
        <v>0</v>
      </c>
      <c r="N16" s="65">
        <v>0</v>
      </c>
      <c r="O16" s="28"/>
      <c r="P16" s="28"/>
      <c r="Q16" s="28"/>
      <c r="R16" s="28"/>
      <c r="S16" s="99">
        <v>0</v>
      </c>
      <c r="T16" s="67">
        <v>0</v>
      </c>
    </row>
    <row r="17" spans="2:21" ht="15.6" x14ac:dyDescent="0.3">
      <c r="B17" s="104">
        <v>12</v>
      </c>
      <c r="C17" s="105" t="s">
        <v>237</v>
      </c>
      <c r="D17" s="139"/>
      <c r="E17" s="63">
        <v>0</v>
      </c>
      <c r="F17" s="28"/>
      <c r="G17" s="28"/>
      <c r="H17" s="106">
        <v>0</v>
      </c>
      <c r="I17" s="107">
        <v>140</v>
      </c>
      <c r="J17" s="28"/>
      <c r="K17" s="108">
        <v>5.8</v>
      </c>
      <c r="L17" s="28"/>
      <c r="M17" s="99">
        <v>0</v>
      </c>
      <c r="N17" s="65">
        <v>0</v>
      </c>
      <c r="O17" s="28"/>
      <c r="P17" s="28"/>
      <c r="Q17" s="28"/>
      <c r="R17" s="28"/>
      <c r="S17" s="99">
        <v>0</v>
      </c>
      <c r="T17" s="67">
        <v>0</v>
      </c>
    </row>
    <row r="18" spans="2:21" ht="15.6" x14ac:dyDescent="0.3">
      <c r="B18" s="104">
        <v>13</v>
      </c>
      <c r="C18" s="105" t="s">
        <v>238</v>
      </c>
      <c r="D18" s="139"/>
      <c r="E18" s="63">
        <v>0</v>
      </c>
      <c r="F18" s="28"/>
      <c r="G18" s="28"/>
      <c r="H18" s="106">
        <v>0</v>
      </c>
      <c r="I18" s="107">
        <v>85</v>
      </c>
      <c r="J18" s="28"/>
      <c r="K18" s="108">
        <v>5.8</v>
      </c>
      <c r="L18" s="28"/>
      <c r="M18" s="99">
        <v>0</v>
      </c>
      <c r="N18" s="65">
        <v>0</v>
      </c>
      <c r="O18" s="28"/>
      <c r="P18" s="28"/>
      <c r="Q18" s="28"/>
      <c r="R18" s="28"/>
      <c r="S18" s="99">
        <v>0</v>
      </c>
      <c r="T18" s="67">
        <v>0</v>
      </c>
    </row>
    <row r="19" spans="2:21" ht="15.6" x14ac:dyDescent="0.3">
      <c r="B19" s="104">
        <v>14</v>
      </c>
      <c r="C19" s="105" t="s">
        <v>239</v>
      </c>
      <c r="D19" s="99">
        <v>2</v>
      </c>
      <c r="E19" s="63">
        <v>2</v>
      </c>
      <c r="F19" s="65">
        <v>1106.76</v>
      </c>
      <c r="G19" s="65">
        <v>14380</v>
      </c>
      <c r="H19" s="106">
        <v>2.8002011130143577E-2</v>
      </c>
      <c r="I19" s="107">
        <v>200</v>
      </c>
      <c r="J19" s="65">
        <v>158750.88750000001</v>
      </c>
      <c r="K19" s="108">
        <v>5.85</v>
      </c>
      <c r="L19" s="65">
        <v>94325.25374999996</v>
      </c>
      <c r="M19" s="99">
        <v>253076.14124999999</v>
      </c>
      <c r="N19" s="109">
        <v>17.599175330319888</v>
      </c>
      <c r="O19" s="65">
        <v>0</v>
      </c>
      <c r="P19" s="65">
        <v>247.3982308383226</v>
      </c>
      <c r="Q19" s="65">
        <v>11376.176007506539</v>
      </c>
      <c r="R19" s="65">
        <v>0</v>
      </c>
      <c r="S19" s="99">
        <v>264204.91902666824</v>
      </c>
      <c r="T19" s="229">
        <v>18.373081990727972</v>
      </c>
    </row>
    <row r="20" spans="2:21" ht="15.6" x14ac:dyDescent="0.3">
      <c r="B20" s="104">
        <v>15</v>
      </c>
      <c r="C20" s="105" t="s">
        <v>294</v>
      </c>
      <c r="D20" s="139"/>
      <c r="E20" s="63">
        <v>0</v>
      </c>
      <c r="F20" s="28"/>
      <c r="G20" s="28"/>
      <c r="H20" s="111">
        <v>0</v>
      </c>
      <c r="I20" s="107">
        <v>165</v>
      </c>
      <c r="J20" s="28"/>
      <c r="K20" s="108">
        <v>8.6</v>
      </c>
      <c r="L20" s="28"/>
      <c r="M20" s="99">
        <v>0</v>
      </c>
      <c r="N20" s="65">
        <v>0</v>
      </c>
      <c r="O20" s="28"/>
      <c r="P20" s="28"/>
      <c r="Q20" s="28"/>
      <c r="R20" s="28"/>
      <c r="S20" s="99">
        <v>0</v>
      </c>
      <c r="T20" s="67">
        <v>0</v>
      </c>
    </row>
    <row r="21" spans="2:21" ht="15.6" x14ac:dyDescent="0.3">
      <c r="B21" s="104">
        <v>16</v>
      </c>
      <c r="C21" s="105" t="s">
        <v>453</v>
      </c>
      <c r="D21" s="139"/>
      <c r="E21" s="63">
        <v>0</v>
      </c>
      <c r="F21" s="28"/>
      <c r="G21" s="28"/>
      <c r="H21" s="111">
        <v>0</v>
      </c>
      <c r="I21" s="107">
        <v>700</v>
      </c>
      <c r="J21" s="28"/>
      <c r="K21" s="108">
        <v>12.5</v>
      </c>
      <c r="L21" s="28"/>
      <c r="M21" s="99">
        <v>0</v>
      </c>
      <c r="N21" s="65">
        <v>0</v>
      </c>
      <c r="O21" s="28"/>
      <c r="P21" s="28"/>
      <c r="Q21" s="28"/>
      <c r="R21" s="28"/>
      <c r="S21" s="99">
        <v>0</v>
      </c>
      <c r="T21" s="67">
        <v>0</v>
      </c>
    </row>
    <row r="22" spans="2:21" s="73" customFormat="1" ht="15.6" x14ac:dyDescent="0.3">
      <c r="B22" s="104">
        <v>17</v>
      </c>
      <c r="C22" s="105" t="s">
        <v>550</v>
      </c>
      <c r="D22" s="97">
        <v>0</v>
      </c>
      <c r="E22" s="63">
        <v>0</v>
      </c>
      <c r="F22" s="97">
        <v>0</v>
      </c>
      <c r="G22" s="65">
        <v>0</v>
      </c>
      <c r="H22" s="111">
        <v>0</v>
      </c>
      <c r="I22" s="107">
        <v>100</v>
      </c>
      <c r="J22" s="65">
        <v>0</v>
      </c>
      <c r="K22" s="108">
        <v>5.5</v>
      </c>
      <c r="L22" s="65">
        <v>0</v>
      </c>
      <c r="M22" s="99">
        <v>0</v>
      </c>
      <c r="N22" s="109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229">
        <v>0</v>
      </c>
      <c r="U22" s="660"/>
    </row>
    <row r="23" spans="2:21" ht="15.6" x14ac:dyDescent="0.3">
      <c r="B23" s="104">
        <v>18</v>
      </c>
      <c r="C23" s="105" t="s">
        <v>214</v>
      </c>
      <c r="D23" s="139"/>
      <c r="E23" s="63">
        <v>0</v>
      </c>
      <c r="F23" s="28"/>
      <c r="G23" s="28"/>
      <c r="H23" s="106">
        <v>0</v>
      </c>
      <c r="I23" s="107">
        <v>200</v>
      </c>
      <c r="J23" s="28"/>
      <c r="K23" s="108">
        <v>6.6</v>
      </c>
      <c r="L23" s="28"/>
      <c r="M23" s="99">
        <v>0</v>
      </c>
      <c r="N23" s="65">
        <v>0</v>
      </c>
      <c r="O23" s="28"/>
      <c r="P23" s="28"/>
      <c r="Q23" s="28"/>
      <c r="R23" s="28"/>
      <c r="S23" s="99">
        <v>0</v>
      </c>
      <c r="T23" s="67">
        <v>0</v>
      </c>
    </row>
    <row r="24" spans="2:21" ht="16.2" thickBot="1" x14ac:dyDescent="0.35">
      <c r="B24" s="112">
        <v>19</v>
      </c>
      <c r="C24" s="113" t="s">
        <v>53</v>
      </c>
      <c r="D24" s="99">
        <v>2</v>
      </c>
      <c r="E24" s="63">
        <v>2</v>
      </c>
      <c r="F24" s="65">
        <v>63</v>
      </c>
      <c r="G24" s="65">
        <v>7740.7000000000007</v>
      </c>
      <c r="H24" s="114">
        <v>1.5073377437767901E-2</v>
      </c>
      <c r="I24" s="115">
        <v>90</v>
      </c>
      <c r="J24" s="65">
        <v>1950</v>
      </c>
      <c r="K24" s="116">
        <v>4.8</v>
      </c>
      <c r="L24" s="65">
        <v>36643.630000000005</v>
      </c>
      <c r="M24" s="99">
        <v>38593.630000000005</v>
      </c>
      <c r="N24" s="117">
        <v>4.9858061932383375</v>
      </c>
      <c r="O24" s="65">
        <v>0</v>
      </c>
      <c r="P24" s="65">
        <v>0</v>
      </c>
      <c r="Q24" s="65">
        <v>0</v>
      </c>
      <c r="R24" s="65">
        <v>0</v>
      </c>
      <c r="S24" s="99">
        <v>38593.630000000005</v>
      </c>
      <c r="T24" s="777">
        <v>4.9858061932383375</v>
      </c>
    </row>
    <row r="25" spans="2:21" ht="16.2" thickBot="1" x14ac:dyDescent="0.35">
      <c r="B25" s="119">
        <v>20</v>
      </c>
      <c r="C25" s="120" t="s">
        <v>305</v>
      </c>
      <c r="D25" s="120">
        <v>48</v>
      </c>
      <c r="E25" s="120">
        <v>48</v>
      </c>
      <c r="F25" s="232">
        <v>14829.334000000001</v>
      </c>
      <c r="G25" s="232">
        <v>513534.54340000002</v>
      </c>
      <c r="H25" s="122">
        <v>1</v>
      </c>
      <c r="I25" s="123"/>
      <c r="J25" s="124">
        <v>3532316.8875000011</v>
      </c>
      <c r="K25" s="121"/>
      <c r="L25" s="124">
        <v>3596213.04005</v>
      </c>
      <c r="M25" s="124">
        <v>7128529.927550002</v>
      </c>
      <c r="N25" s="125">
        <v>13.881305589208397</v>
      </c>
      <c r="O25" s="232">
        <v>0</v>
      </c>
      <c r="P25" s="232">
        <v>6003.0544767050887</v>
      </c>
      <c r="Q25" s="232">
        <v>227674.46726110572</v>
      </c>
      <c r="R25" s="232">
        <v>0</v>
      </c>
      <c r="S25" s="232">
        <v>7350201.3403344024</v>
      </c>
      <c r="T25" s="233">
        <v>14.312963820642571</v>
      </c>
      <c r="U25" s="614"/>
    </row>
    <row r="26" spans="2:21" ht="15.6" x14ac:dyDescent="0.3">
      <c r="B26" s="96">
        <v>21</v>
      </c>
      <c r="C26" s="63" t="s">
        <v>309</v>
      </c>
      <c r="D26" s="63">
        <v>0</v>
      </c>
      <c r="E26" s="63">
        <v>0</v>
      </c>
      <c r="F26" s="65">
        <v>0</v>
      </c>
      <c r="G26" s="65">
        <v>0</v>
      </c>
      <c r="H26" s="98"/>
      <c r="I26" s="97">
        <v>410</v>
      </c>
      <c r="J26" s="99">
        <v>0</v>
      </c>
      <c r="K26" s="100">
        <v>6.6</v>
      </c>
      <c r="L26" s="99">
        <v>0</v>
      </c>
      <c r="M26" s="99">
        <v>0</v>
      </c>
      <c r="N26" s="101"/>
      <c r="O26" s="65">
        <v>0</v>
      </c>
      <c r="P26" s="65">
        <v>0</v>
      </c>
      <c r="Q26" s="230">
        <v>0</v>
      </c>
      <c r="R26" s="230">
        <v>0</v>
      </c>
      <c r="S26" s="99">
        <v>0</v>
      </c>
      <c r="T26" s="67">
        <v>0</v>
      </c>
    </row>
    <row r="27" spans="2:21" ht="15.6" x14ac:dyDescent="0.3">
      <c r="B27" s="104">
        <v>22</v>
      </c>
      <c r="C27" s="105" t="s">
        <v>308</v>
      </c>
      <c r="D27" s="105">
        <v>0</v>
      </c>
      <c r="E27" s="63">
        <v>0</v>
      </c>
      <c r="F27" s="65">
        <v>0</v>
      </c>
      <c r="G27" s="65">
        <v>0</v>
      </c>
      <c r="H27" s="106"/>
      <c r="I27" s="107">
        <v>440</v>
      </c>
      <c r="J27" s="139">
        <v>0</v>
      </c>
      <c r="K27" s="108">
        <v>6.05</v>
      </c>
      <c r="L27" s="139">
        <v>0</v>
      </c>
      <c r="M27" s="99">
        <v>0</v>
      </c>
      <c r="N27" s="109"/>
      <c r="O27" s="65">
        <v>0</v>
      </c>
      <c r="P27" s="65">
        <v>0</v>
      </c>
      <c r="Q27" s="230">
        <v>0</v>
      </c>
      <c r="R27" s="230">
        <v>0</v>
      </c>
      <c r="S27" s="99">
        <v>0</v>
      </c>
      <c r="T27" s="67">
        <v>0</v>
      </c>
    </row>
    <row r="28" spans="2:21" ht="15.6" x14ac:dyDescent="0.3">
      <c r="B28" s="96">
        <v>23</v>
      </c>
      <c r="C28" s="113" t="s">
        <v>451</v>
      </c>
      <c r="D28" s="113">
        <v>0</v>
      </c>
      <c r="E28" s="63">
        <v>0</v>
      </c>
      <c r="F28" s="65">
        <v>0</v>
      </c>
      <c r="G28" s="65">
        <v>0</v>
      </c>
      <c r="H28" s="114"/>
      <c r="I28" s="115">
        <v>525</v>
      </c>
      <c r="J28" s="140">
        <v>0</v>
      </c>
      <c r="K28" s="116">
        <v>7.8</v>
      </c>
      <c r="L28" s="140">
        <v>0</v>
      </c>
      <c r="M28" s="99">
        <v>0</v>
      </c>
      <c r="N28" s="117"/>
      <c r="O28" s="65">
        <v>0</v>
      </c>
      <c r="P28" s="65">
        <v>0</v>
      </c>
      <c r="Q28" s="230">
        <v>0</v>
      </c>
      <c r="R28" s="230">
        <v>0</v>
      </c>
      <c r="S28" s="99">
        <v>0</v>
      </c>
      <c r="T28" s="67">
        <v>0</v>
      </c>
    </row>
    <row r="29" spans="2:21" ht="16.2" thickBot="1" x14ac:dyDescent="0.35">
      <c r="B29" s="104">
        <v>24</v>
      </c>
      <c r="C29" s="113" t="s">
        <v>54</v>
      </c>
      <c r="D29" s="113">
        <v>0</v>
      </c>
      <c r="E29" s="63">
        <v>0</v>
      </c>
      <c r="F29" s="65">
        <v>0</v>
      </c>
      <c r="G29" s="65">
        <v>0</v>
      </c>
      <c r="H29" s="114"/>
      <c r="I29" s="115">
        <v>500</v>
      </c>
      <c r="J29" s="140">
        <v>0</v>
      </c>
      <c r="K29" s="116">
        <v>7.9</v>
      </c>
      <c r="L29" s="140">
        <v>0</v>
      </c>
      <c r="M29" s="99">
        <v>0</v>
      </c>
      <c r="N29" s="117"/>
      <c r="O29" s="65">
        <v>0</v>
      </c>
      <c r="P29" s="65">
        <v>0</v>
      </c>
      <c r="Q29" s="230">
        <v>0</v>
      </c>
      <c r="R29" s="230">
        <v>0</v>
      </c>
      <c r="S29" s="99">
        <v>0</v>
      </c>
      <c r="T29" s="67">
        <v>0</v>
      </c>
    </row>
    <row r="30" spans="2:21" ht="15.6" x14ac:dyDescent="0.3">
      <c r="B30" s="128">
        <v>25</v>
      </c>
      <c r="C30" s="129" t="s">
        <v>306</v>
      </c>
      <c r="D30" s="129">
        <v>0</v>
      </c>
      <c r="E30" s="129">
        <v>0</v>
      </c>
      <c r="F30" s="132">
        <v>0</v>
      </c>
      <c r="G30" s="132">
        <v>0</v>
      </c>
      <c r="H30" s="131"/>
      <c r="I30" s="130"/>
      <c r="J30" s="132">
        <v>0</v>
      </c>
      <c r="K30" s="130"/>
      <c r="L30" s="132">
        <v>0</v>
      </c>
      <c r="M30" s="132">
        <v>0</v>
      </c>
      <c r="N30" s="133"/>
      <c r="O30" s="234">
        <v>0</v>
      </c>
      <c r="P30" s="234">
        <v>0</v>
      </c>
      <c r="Q30" s="234">
        <v>0</v>
      </c>
      <c r="R30" s="234">
        <v>0</v>
      </c>
      <c r="S30" s="234">
        <v>0</v>
      </c>
      <c r="T30" s="235">
        <v>0</v>
      </c>
    </row>
    <row r="31" spans="2:21" ht="16.2" thickBot="1" x14ac:dyDescent="0.35">
      <c r="B31" s="135">
        <v>26</v>
      </c>
      <c r="C31" s="136" t="s">
        <v>267</v>
      </c>
      <c r="D31" s="136">
        <v>48</v>
      </c>
      <c r="E31" s="136">
        <v>48</v>
      </c>
      <c r="F31" s="778">
        <v>14829.334000000001</v>
      </c>
      <c r="G31" s="778">
        <v>513534.54340000002</v>
      </c>
      <c r="H31" s="136"/>
      <c r="I31" s="136"/>
      <c r="J31" s="137">
        <v>3532316.8875000011</v>
      </c>
      <c r="K31" s="136"/>
      <c r="L31" s="137">
        <v>3596213.04005</v>
      </c>
      <c r="M31" s="137">
        <v>7128529.927550002</v>
      </c>
      <c r="N31" s="136">
        <v>13.881305589208397</v>
      </c>
      <c r="O31" s="236">
        <v>0</v>
      </c>
      <c r="P31" s="236">
        <v>6003.0544767050887</v>
      </c>
      <c r="Q31" s="236">
        <v>227674.46726110572</v>
      </c>
      <c r="R31" s="236">
        <v>0</v>
      </c>
      <c r="S31" s="236">
        <v>7350201.3403344024</v>
      </c>
      <c r="T31" s="237">
        <v>14.312963820642571</v>
      </c>
    </row>
    <row r="32" spans="2:21" ht="15.6" x14ac:dyDescent="0.3">
      <c r="B32" s="96">
        <v>27</v>
      </c>
      <c r="C32" s="63" t="s">
        <v>24</v>
      </c>
      <c r="D32" s="63"/>
      <c r="E32" s="63"/>
      <c r="F32" s="97"/>
      <c r="G32" s="97"/>
      <c r="H32" s="97"/>
      <c r="I32" s="97"/>
      <c r="J32" s="97"/>
      <c r="K32" s="97"/>
      <c r="L32" s="97"/>
      <c r="M32" s="97"/>
      <c r="N32" s="101"/>
      <c r="O32" s="65"/>
      <c r="P32" s="65"/>
      <c r="Q32" s="65"/>
      <c r="R32" s="65"/>
      <c r="S32" s="65">
        <v>355956.94100500003</v>
      </c>
      <c r="T32" s="67"/>
    </row>
    <row r="33" spans="2:20" ht="15.6" x14ac:dyDescent="0.3">
      <c r="B33" s="104">
        <v>28</v>
      </c>
      <c r="C33" s="105" t="s">
        <v>25</v>
      </c>
      <c r="D33" s="105"/>
      <c r="E33" s="105"/>
      <c r="F33" s="107"/>
      <c r="G33" s="107"/>
      <c r="H33" s="107"/>
      <c r="I33" s="107"/>
      <c r="J33" s="107"/>
      <c r="K33" s="107"/>
      <c r="L33" s="107"/>
      <c r="M33" s="107"/>
      <c r="N33" s="107"/>
      <c r="O33" s="28"/>
      <c r="P33" s="28"/>
      <c r="Q33" s="28"/>
      <c r="R33" s="28"/>
      <c r="S33" s="28">
        <v>7706158.2813394023</v>
      </c>
      <c r="T33" s="229"/>
    </row>
    <row r="34" spans="2:20" ht="16.2" thickBot="1" x14ac:dyDescent="0.35">
      <c r="B34" s="112">
        <v>29</v>
      </c>
      <c r="C34" s="113" t="s">
        <v>468</v>
      </c>
      <c r="D34" s="113"/>
      <c r="E34" s="113"/>
      <c r="F34" s="115"/>
      <c r="G34" s="115"/>
      <c r="H34" s="115"/>
      <c r="I34" s="115"/>
      <c r="J34" s="115"/>
      <c r="K34" s="115"/>
      <c r="L34" s="115"/>
      <c r="M34" s="115"/>
      <c r="N34" s="115"/>
      <c r="O34" s="230"/>
      <c r="P34" s="230"/>
      <c r="Q34" s="230"/>
      <c r="R34" s="230"/>
      <c r="S34" s="230">
        <v>0</v>
      </c>
      <c r="T34" s="231"/>
    </row>
    <row r="35" spans="2:20" ht="16.2" thickBot="1" x14ac:dyDescent="0.35">
      <c r="B35" s="119">
        <v>30</v>
      </c>
      <c r="C35" s="120" t="s">
        <v>307</v>
      </c>
      <c r="D35" s="120"/>
      <c r="E35" s="120"/>
      <c r="F35" s="121"/>
      <c r="G35" s="121"/>
      <c r="H35" s="121"/>
      <c r="I35" s="121"/>
      <c r="J35" s="121"/>
      <c r="K35" s="121"/>
      <c r="L35" s="121"/>
      <c r="M35" s="121"/>
      <c r="N35" s="121"/>
      <c r="O35" s="232"/>
      <c r="P35" s="232"/>
      <c r="Q35" s="232"/>
      <c r="R35" s="232"/>
      <c r="S35" s="232">
        <v>7706158.2813394023</v>
      </c>
      <c r="T35" s="233"/>
    </row>
    <row r="37" spans="2:20" ht="18.600000000000001" hidden="1" thickBot="1" x14ac:dyDescent="0.4">
      <c r="Q37" s="224" t="s">
        <v>310</v>
      </c>
      <c r="R37" s="225"/>
      <c r="S37" s="238">
        <v>77.061582813394025</v>
      </c>
    </row>
    <row r="38" spans="2:20" x14ac:dyDescent="0.25">
      <c r="M38" s="103"/>
    </row>
    <row r="39" spans="2:20" x14ac:dyDescent="0.25">
      <c r="M39" s="103"/>
    </row>
    <row r="40" spans="2:20" x14ac:dyDescent="0.25">
      <c r="M40" s="103"/>
    </row>
    <row r="42" spans="2:20" ht="15.6" x14ac:dyDescent="0.3">
      <c r="B42" s="72"/>
      <c r="C42" s="73"/>
      <c r="D42" s="73"/>
      <c r="E42" s="73"/>
      <c r="F42" s="73"/>
      <c r="M42" s="74"/>
    </row>
    <row r="43" spans="2:20" ht="15.6" x14ac:dyDescent="0.3">
      <c r="B43" s="72"/>
      <c r="C43" s="73"/>
      <c r="D43" s="73"/>
      <c r="E43" s="73"/>
      <c r="F43" s="73"/>
      <c r="M43" s="75"/>
    </row>
    <row r="44" spans="2:20" ht="15.6" x14ac:dyDescent="0.3">
      <c r="B44" s="73"/>
      <c r="C44" s="73"/>
      <c r="D44" s="73"/>
      <c r="E44" s="73"/>
      <c r="F44" s="76"/>
      <c r="M44" s="73"/>
    </row>
    <row r="45" spans="2:20" ht="15.6" x14ac:dyDescent="0.3">
      <c r="B45" s="73"/>
      <c r="C45" s="73"/>
      <c r="D45" s="73"/>
      <c r="E45" s="73"/>
      <c r="F45" s="76"/>
      <c r="M45" s="73"/>
    </row>
    <row r="46" spans="2:20" ht="15.6" x14ac:dyDescent="0.3">
      <c r="B46" s="73"/>
      <c r="C46" s="73"/>
      <c r="D46" s="73"/>
      <c r="E46" s="73"/>
      <c r="F46" s="76"/>
      <c r="M46" s="73"/>
    </row>
    <row r="47" spans="2:20" ht="15.6" x14ac:dyDescent="0.3">
      <c r="B47" s="73"/>
      <c r="C47" s="73"/>
      <c r="D47" s="73"/>
      <c r="E47" s="73"/>
      <c r="F47" s="73"/>
      <c r="M47" s="73"/>
    </row>
    <row r="48" spans="2:20" ht="15.6" x14ac:dyDescent="0.3">
      <c r="B48" s="84"/>
      <c r="C48" s="77"/>
      <c r="D48" s="78"/>
      <c r="E48" s="73"/>
      <c r="F48" s="73"/>
      <c r="M48" s="79"/>
    </row>
    <row r="49" spans="2:13" ht="15.6" x14ac:dyDescent="0.3">
      <c r="B49" s="84"/>
      <c r="C49" s="80"/>
      <c r="D49" s="78"/>
      <c r="E49" s="73"/>
      <c r="F49" s="81"/>
      <c r="M49" s="79"/>
    </row>
    <row r="50" spans="2:13" ht="15.6" x14ac:dyDescent="0.3">
      <c r="B50" s="82"/>
      <c r="C50" s="82"/>
      <c r="D50" s="82"/>
      <c r="E50" s="82"/>
      <c r="F50" s="73"/>
      <c r="G50" s="73"/>
    </row>
    <row r="51" spans="2:13" ht="15.6" x14ac:dyDescent="0.3">
      <c r="B51" s="82"/>
      <c r="C51" s="82"/>
      <c r="D51" s="82"/>
      <c r="E51" s="73"/>
      <c r="F51" s="79"/>
      <c r="G51" s="73"/>
    </row>
    <row r="52" spans="2:13" ht="15.6" x14ac:dyDescent="0.3">
      <c r="B52" s="73"/>
      <c r="C52" s="82"/>
      <c r="D52" s="82"/>
      <c r="E52" s="73"/>
      <c r="F52" s="83"/>
      <c r="G52" s="73"/>
    </row>
    <row r="53" spans="2:13" ht="15.6" x14ac:dyDescent="0.3">
      <c r="C53" s="82"/>
      <c r="D53" s="82"/>
      <c r="E53" s="85"/>
      <c r="F53" s="83"/>
      <c r="G53" s="73"/>
    </row>
    <row r="54" spans="2:13" ht="15.6" x14ac:dyDescent="0.3">
      <c r="C54" s="82"/>
      <c r="D54" s="82"/>
      <c r="E54" s="82"/>
      <c r="F54" s="86"/>
      <c r="G54" s="73"/>
    </row>
  </sheetData>
  <mergeCells count="2">
    <mergeCell ref="B2:T2"/>
    <mergeCell ref="B3:T3"/>
  </mergeCells>
  <printOptions horizontalCentered="1" verticalCentered="1"/>
  <pageMargins left="0.7" right="0.7" top="0.75" bottom="0.75" header="0.3" footer="0.3"/>
  <pageSetup paperSize="8" scale="7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C00000"/>
    <pageSetUpPr fitToPage="1"/>
  </sheetPr>
  <dimension ref="B1:M30"/>
  <sheetViews>
    <sheetView view="pageBreakPreview" zoomScale="60" zoomScaleNormal="100" workbookViewId="0">
      <selection activeCell="G1" sqref="G1:Y1048576"/>
    </sheetView>
  </sheetViews>
  <sheetFormatPr defaultColWidth="9.109375" defaultRowHeight="13.8" x14ac:dyDescent="0.25"/>
  <cols>
    <col min="1" max="1" width="9.109375" style="1"/>
    <col min="2" max="2" width="5.6640625" style="1" bestFit="1" customWidth="1"/>
    <col min="3" max="3" width="52.88671875" style="1" bestFit="1" customWidth="1"/>
    <col min="4" max="4" width="7.5546875" style="1" bestFit="1" customWidth="1"/>
    <col min="5" max="5" width="12" style="1" customWidth="1"/>
    <col min="6" max="6" width="9.6640625" style="1" bestFit="1" customWidth="1"/>
    <col min="7" max="16384" width="9.109375" style="1"/>
  </cols>
  <sheetData>
    <row r="1" spans="2:13" ht="14.4" thickBot="1" x14ac:dyDescent="0.3"/>
    <row r="2" spans="2:13" ht="16.2" thickBot="1" x14ac:dyDescent="0.35">
      <c r="B2" s="958" t="s">
        <v>536</v>
      </c>
      <c r="C2" s="959"/>
      <c r="D2" s="959"/>
      <c r="E2" s="959"/>
      <c r="F2" s="960"/>
    </row>
    <row r="3" spans="2:13" ht="16.2" thickBot="1" x14ac:dyDescent="0.3">
      <c r="B3" s="961" t="s">
        <v>268</v>
      </c>
      <c r="C3" s="962"/>
      <c r="D3" s="962"/>
      <c r="E3" s="962"/>
      <c r="F3" s="963"/>
    </row>
    <row r="4" spans="2:13" ht="16.2" thickBot="1" x14ac:dyDescent="0.3">
      <c r="B4" s="964" t="s">
        <v>313</v>
      </c>
      <c r="C4" s="965"/>
      <c r="D4" s="965"/>
      <c r="E4" s="965"/>
      <c r="F4" s="966"/>
    </row>
    <row r="5" spans="2:13" ht="15.6" x14ac:dyDescent="0.25">
      <c r="B5" s="967" t="s">
        <v>26</v>
      </c>
      <c r="C5" s="969" t="s">
        <v>1</v>
      </c>
      <c r="D5" s="770" t="s">
        <v>551</v>
      </c>
      <c r="E5" s="770" t="s">
        <v>551</v>
      </c>
      <c r="F5" s="770" t="s">
        <v>517</v>
      </c>
    </row>
    <row r="6" spans="2:13" ht="15.6" x14ac:dyDescent="0.25">
      <c r="B6" s="968"/>
      <c r="C6" s="970"/>
      <c r="D6" s="190" t="s">
        <v>3</v>
      </c>
      <c r="E6" s="770" t="s">
        <v>156</v>
      </c>
      <c r="F6" s="771" t="s">
        <v>3</v>
      </c>
    </row>
    <row r="7" spans="2:13" ht="16.2" thickBot="1" x14ac:dyDescent="0.35">
      <c r="B7" s="239">
        <v>1</v>
      </c>
      <c r="C7" s="240">
        <v>2</v>
      </c>
      <c r="D7" s="240">
        <v>3</v>
      </c>
      <c r="E7" s="240">
        <v>4</v>
      </c>
      <c r="F7" s="241">
        <v>5</v>
      </c>
    </row>
    <row r="8" spans="2:13" ht="15.6" x14ac:dyDescent="0.3">
      <c r="B8" s="191">
        <v>1</v>
      </c>
      <c r="C8" s="243" t="s">
        <v>312</v>
      </c>
      <c r="D8" s="244">
        <v>89.118849999999995</v>
      </c>
      <c r="E8" s="244"/>
      <c r="F8" s="245">
        <v>41.0175968</v>
      </c>
    </row>
    <row r="9" spans="2:13" ht="15.6" x14ac:dyDescent="0.3">
      <c r="B9" s="191">
        <v>2</v>
      </c>
      <c r="C9" s="246" t="s">
        <v>27</v>
      </c>
      <c r="D9" s="244">
        <v>2.3230613</v>
      </c>
      <c r="E9" s="244"/>
      <c r="F9" s="245">
        <v>7.3599449999999997</v>
      </c>
      <c r="M9" s="25"/>
    </row>
    <row r="10" spans="2:13" ht="15.6" x14ac:dyDescent="0.3">
      <c r="B10" s="191">
        <v>3</v>
      </c>
      <c r="C10" s="246" t="s">
        <v>28</v>
      </c>
      <c r="D10" s="244">
        <v>3.6540982411079006</v>
      </c>
      <c r="E10" s="244"/>
      <c r="F10" s="245">
        <v>2.4687356864179333</v>
      </c>
    </row>
    <row r="11" spans="2:13" ht="15.6" x14ac:dyDescent="0.3">
      <c r="B11" s="191">
        <v>4</v>
      </c>
      <c r="C11" s="246" t="s">
        <v>29</v>
      </c>
      <c r="D11" s="247">
        <v>53.333080000000002</v>
      </c>
      <c r="E11" s="247"/>
      <c r="F11" s="248">
        <v>27.240039199999998</v>
      </c>
    </row>
    <row r="12" spans="2:13" ht="16.2" thickBot="1" x14ac:dyDescent="0.35">
      <c r="B12" s="249">
        <v>5</v>
      </c>
      <c r="C12" s="250" t="s">
        <v>30</v>
      </c>
      <c r="D12" s="251">
        <v>0</v>
      </c>
      <c r="E12" s="251"/>
      <c r="F12" s="252">
        <v>0</v>
      </c>
    </row>
    <row r="13" spans="2:13" ht="16.2" thickBot="1" x14ac:dyDescent="0.35">
      <c r="B13" s="253"/>
      <c r="C13" s="254" t="s">
        <v>22</v>
      </c>
      <c r="D13" s="255">
        <v>148.42908954110791</v>
      </c>
      <c r="E13" s="926">
        <v>157.31</v>
      </c>
      <c r="F13" s="256">
        <v>78.086316686417945</v>
      </c>
    </row>
    <row r="14" spans="2:13" x14ac:dyDescent="0.25">
      <c r="D14" s="25"/>
    </row>
    <row r="18" spans="2:6" x14ac:dyDescent="0.25">
      <c r="B18" s="177"/>
      <c r="F18" s="178"/>
    </row>
    <row r="19" spans="2:6" x14ac:dyDescent="0.25">
      <c r="B19" s="177"/>
      <c r="F19" s="179"/>
    </row>
    <row r="24" spans="2:6" ht="14.4" x14ac:dyDescent="0.3">
      <c r="B24" s="180"/>
      <c r="C24" s="181"/>
      <c r="D24" s="257"/>
      <c r="F24" s="182"/>
    </row>
    <row r="25" spans="2:6" ht="14.4" x14ac:dyDescent="0.3">
      <c r="B25" s="180"/>
      <c r="C25" s="183"/>
      <c r="D25" s="257"/>
      <c r="F25" s="182"/>
    </row>
    <row r="26" spans="2:6" ht="14.4" x14ac:dyDescent="0.3">
      <c r="B26" s="258"/>
      <c r="C26" s="258"/>
      <c r="D26" s="258"/>
      <c r="E26" s="258"/>
    </row>
    <row r="27" spans="2:6" ht="14.4" x14ac:dyDescent="0.3">
      <c r="B27" s="258"/>
      <c r="C27" s="258"/>
      <c r="D27" s="258"/>
      <c r="F27" s="182"/>
    </row>
    <row r="28" spans="2:6" ht="14.4" x14ac:dyDescent="0.3">
      <c r="C28" s="258"/>
      <c r="D28" s="258"/>
      <c r="F28" s="259"/>
    </row>
    <row r="29" spans="2:6" ht="14.4" x14ac:dyDescent="0.3">
      <c r="C29" s="258"/>
      <c r="D29" s="258"/>
      <c r="E29" s="260"/>
      <c r="F29" s="259"/>
    </row>
    <row r="30" spans="2:6" ht="14.4" x14ac:dyDescent="0.3">
      <c r="C30" s="258"/>
      <c r="D30" s="258"/>
      <c r="E30" s="258"/>
      <c r="F30" s="261"/>
    </row>
  </sheetData>
  <mergeCells count="5">
    <mergeCell ref="B2:F2"/>
    <mergeCell ref="B3:F3"/>
    <mergeCell ref="B4:F4"/>
    <mergeCell ref="B5:B6"/>
    <mergeCell ref="C5:C6"/>
  </mergeCells>
  <phoneticPr fontId="1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C00000"/>
    <pageSetUpPr fitToPage="1"/>
  </sheetPr>
  <dimension ref="B1:F32"/>
  <sheetViews>
    <sheetView view="pageBreakPreview" zoomScale="60" zoomScaleNormal="100" workbookViewId="0">
      <selection activeCell="J13" sqref="J13"/>
    </sheetView>
  </sheetViews>
  <sheetFormatPr defaultColWidth="9.109375" defaultRowHeight="13.8" x14ac:dyDescent="0.25"/>
  <cols>
    <col min="1" max="1" width="9.109375" style="1"/>
    <col min="2" max="2" width="6.33203125" style="1" bestFit="1" customWidth="1"/>
    <col min="3" max="3" width="58.109375" style="1" customWidth="1"/>
    <col min="4" max="4" width="11.33203125" style="1" customWidth="1"/>
    <col min="5" max="5" width="13.33203125" style="1" customWidth="1"/>
    <col min="6" max="6" width="13" style="1" customWidth="1"/>
    <col min="7" max="16384" width="9.109375" style="1"/>
  </cols>
  <sheetData>
    <row r="1" spans="2:6" ht="14.4" thickBot="1" x14ac:dyDescent="0.3"/>
    <row r="2" spans="2:6" ht="16.2" thickBot="1" x14ac:dyDescent="0.35">
      <c r="B2" s="976" t="s">
        <v>316</v>
      </c>
      <c r="C2" s="977"/>
      <c r="D2" s="977"/>
      <c r="E2" s="977"/>
      <c r="F2" s="978"/>
    </row>
    <row r="3" spans="2:6" ht="16.2" thickBot="1" x14ac:dyDescent="0.35">
      <c r="B3" s="973" t="s">
        <v>203</v>
      </c>
      <c r="C3" s="974"/>
      <c r="D3" s="974"/>
      <c r="E3" s="974"/>
      <c r="F3" s="975"/>
    </row>
    <row r="4" spans="2:6" ht="15.6" x14ac:dyDescent="0.3">
      <c r="B4" s="979" t="s">
        <v>317</v>
      </c>
      <c r="C4" s="980"/>
      <c r="D4" s="980"/>
      <c r="E4" s="980"/>
      <c r="F4" s="981"/>
    </row>
    <row r="5" spans="2:6" ht="15.6" x14ac:dyDescent="0.25">
      <c r="B5" s="971" t="s">
        <v>26</v>
      </c>
      <c r="C5" s="972" t="s">
        <v>1</v>
      </c>
      <c r="D5" s="770" t="s">
        <v>551</v>
      </c>
      <c r="E5" s="770" t="s">
        <v>551</v>
      </c>
      <c r="F5" s="770" t="s">
        <v>517</v>
      </c>
    </row>
    <row r="6" spans="2:6" ht="15.6" x14ac:dyDescent="0.25">
      <c r="B6" s="971"/>
      <c r="C6" s="972"/>
      <c r="D6" s="190" t="s">
        <v>3</v>
      </c>
      <c r="E6" s="190" t="s">
        <v>156</v>
      </c>
      <c r="F6" s="771" t="s">
        <v>3</v>
      </c>
    </row>
    <row r="7" spans="2:6" ht="15.6" x14ac:dyDescent="0.25">
      <c r="B7" s="262">
        <v>1</v>
      </c>
      <c r="C7" s="263">
        <v>2</v>
      </c>
      <c r="D7" s="263">
        <v>3</v>
      </c>
      <c r="E7" s="263">
        <v>4</v>
      </c>
      <c r="F7" s="264">
        <v>5</v>
      </c>
    </row>
    <row r="8" spans="2:6" ht="15.6" x14ac:dyDescent="0.3">
      <c r="B8" s="265">
        <v>1</v>
      </c>
      <c r="C8" s="266" t="s">
        <v>457</v>
      </c>
      <c r="D8" s="267">
        <v>0</v>
      </c>
      <c r="E8" s="105"/>
      <c r="F8" s="268">
        <v>0</v>
      </c>
    </row>
    <row r="9" spans="2:6" ht="15.6" x14ac:dyDescent="0.3">
      <c r="B9" s="265">
        <v>2</v>
      </c>
      <c r="C9" s="266" t="s">
        <v>32</v>
      </c>
      <c r="D9" s="267">
        <v>0</v>
      </c>
      <c r="E9" s="105"/>
      <c r="F9" s="268">
        <v>0</v>
      </c>
    </row>
    <row r="10" spans="2:6" ht="15.6" x14ac:dyDescent="0.3">
      <c r="B10" s="191">
        <v>3</v>
      </c>
      <c r="C10" s="269" t="s">
        <v>458</v>
      </c>
      <c r="D10" s="267">
        <v>0</v>
      </c>
      <c r="E10" s="105"/>
      <c r="F10" s="268">
        <v>75.25667</v>
      </c>
    </row>
    <row r="11" spans="2:6" ht="31.2" x14ac:dyDescent="0.3">
      <c r="B11" s="191">
        <v>4</v>
      </c>
      <c r="C11" s="269" t="s">
        <v>33</v>
      </c>
      <c r="D11" s="267">
        <v>0</v>
      </c>
      <c r="E11" s="105"/>
      <c r="F11" s="268">
        <v>0</v>
      </c>
    </row>
    <row r="12" spans="2:6" ht="15.6" x14ac:dyDescent="0.3">
      <c r="B12" s="191">
        <v>5</v>
      </c>
      <c r="C12" s="197" t="s">
        <v>34</v>
      </c>
      <c r="D12" s="267">
        <v>0</v>
      </c>
      <c r="E12" s="105"/>
      <c r="F12" s="268">
        <v>0</v>
      </c>
    </row>
    <row r="13" spans="2:6" ht="15.6" x14ac:dyDescent="0.3">
      <c r="B13" s="271"/>
      <c r="C13" s="272" t="s">
        <v>31</v>
      </c>
      <c r="D13" s="273">
        <v>0</v>
      </c>
      <c r="E13" s="274">
        <v>0</v>
      </c>
      <c r="F13" s="275">
        <v>75.25667</v>
      </c>
    </row>
    <row r="14" spans="2:6" ht="16.2" thickBot="1" x14ac:dyDescent="0.35">
      <c r="B14" s="276"/>
      <c r="C14" s="277" t="s">
        <v>35</v>
      </c>
      <c r="D14" s="278">
        <v>0</v>
      </c>
      <c r="E14" s="279">
        <v>0</v>
      </c>
      <c r="F14" s="280">
        <v>75.25667</v>
      </c>
    </row>
    <row r="20" spans="2:6" x14ac:dyDescent="0.25">
      <c r="B20" s="177"/>
      <c r="F20" s="178"/>
    </row>
    <row r="21" spans="2:6" x14ac:dyDescent="0.25">
      <c r="B21" s="177"/>
      <c r="F21" s="179"/>
    </row>
    <row r="26" spans="2:6" ht="14.4" x14ac:dyDescent="0.3">
      <c r="B26" s="180"/>
      <c r="C26" s="181"/>
      <c r="D26" s="257"/>
      <c r="F26" s="182"/>
    </row>
    <row r="27" spans="2:6" ht="14.4" x14ac:dyDescent="0.3">
      <c r="B27" s="180"/>
      <c r="C27" s="183"/>
      <c r="D27" s="257"/>
      <c r="F27" s="182"/>
    </row>
    <row r="28" spans="2:6" ht="14.4" x14ac:dyDescent="0.3">
      <c r="B28" s="258"/>
      <c r="C28" s="258"/>
      <c r="D28" s="258"/>
      <c r="E28" s="258"/>
    </row>
    <row r="29" spans="2:6" ht="14.4" x14ac:dyDescent="0.3">
      <c r="B29" s="258"/>
      <c r="C29" s="258"/>
      <c r="D29" s="258"/>
      <c r="F29" s="182"/>
    </row>
    <row r="30" spans="2:6" ht="14.4" x14ac:dyDescent="0.3">
      <c r="C30" s="258"/>
      <c r="D30" s="258"/>
      <c r="F30" s="259"/>
    </row>
    <row r="31" spans="2:6" ht="14.4" x14ac:dyDescent="0.3">
      <c r="C31" s="258"/>
      <c r="D31" s="258"/>
      <c r="E31" s="260"/>
      <c r="F31" s="259"/>
    </row>
    <row r="32" spans="2:6" ht="14.4" x14ac:dyDescent="0.3">
      <c r="C32" s="258"/>
      <c r="D32" s="258"/>
      <c r="E32" s="258"/>
      <c r="F32" s="261"/>
    </row>
  </sheetData>
  <mergeCells count="5">
    <mergeCell ref="B5:B6"/>
    <mergeCell ref="C5:C6"/>
    <mergeCell ref="B3:F3"/>
    <mergeCell ref="B2:F2"/>
    <mergeCell ref="B4:F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colBreaks count="1" manualBreakCount="1">
    <brk id="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C00000"/>
    <pageSetUpPr fitToPage="1"/>
  </sheetPr>
  <dimension ref="B1:M33"/>
  <sheetViews>
    <sheetView view="pageBreakPreview" zoomScale="60" zoomScaleNormal="85" workbookViewId="0">
      <selection activeCell="M25" sqref="M25"/>
    </sheetView>
  </sheetViews>
  <sheetFormatPr defaultColWidth="9.109375" defaultRowHeight="13.8" x14ac:dyDescent="0.25"/>
  <cols>
    <col min="1" max="1" width="9.109375" style="1"/>
    <col min="2" max="2" width="22.109375" style="1" bestFit="1" customWidth="1"/>
    <col min="3" max="3" width="9.109375" style="1"/>
    <col min="4" max="4" width="10.21875" style="1" bestFit="1" customWidth="1"/>
    <col min="5" max="5" width="12" style="1" customWidth="1"/>
    <col min="6" max="6" width="11.6640625" style="1" customWidth="1"/>
    <col min="7" max="7" width="9.77734375" style="1" bestFit="1" customWidth="1"/>
    <col min="8" max="8" width="11.21875" style="1" bestFit="1" customWidth="1"/>
    <col min="9" max="9" width="9.21875" style="1" bestFit="1" customWidth="1"/>
    <col min="10" max="10" width="9.6640625" style="1" customWidth="1"/>
    <col min="11" max="11" width="11.21875" style="1" bestFit="1" customWidth="1"/>
    <col min="12" max="12" width="12.77734375" style="1" customWidth="1"/>
    <col min="13" max="13" width="10.33203125" style="1" bestFit="1" customWidth="1"/>
    <col min="14" max="16384" width="9.109375" style="1"/>
  </cols>
  <sheetData>
    <row r="1" spans="2:13" ht="14.4" thickBot="1" x14ac:dyDescent="0.3"/>
    <row r="2" spans="2:13" ht="16.2" thickBot="1" x14ac:dyDescent="0.3">
      <c r="B2" s="982" t="s">
        <v>537</v>
      </c>
      <c r="C2" s="983"/>
      <c r="D2" s="983"/>
      <c r="E2" s="983"/>
      <c r="F2" s="983"/>
      <c r="G2" s="983"/>
      <c r="H2" s="983"/>
      <c r="I2" s="983"/>
      <c r="J2" s="983"/>
      <c r="K2" s="983"/>
      <c r="L2" s="983"/>
      <c r="M2" s="984"/>
    </row>
    <row r="3" spans="2:13" ht="16.2" thickBot="1" x14ac:dyDescent="0.35">
      <c r="B3" s="985" t="s">
        <v>219</v>
      </c>
      <c r="C3" s="986"/>
      <c r="D3" s="986"/>
      <c r="E3" s="986"/>
      <c r="F3" s="986"/>
      <c r="G3" s="986"/>
      <c r="H3" s="986"/>
      <c r="I3" s="986"/>
      <c r="J3" s="986"/>
      <c r="K3" s="986"/>
      <c r="L3" s="986"/>
      <c r="M3" s="987"/>
    </row>
    <row r="4" spans="2:13" ht="15.6" x14ac:dyDescent="0.3">
      <c r="B4" s="988" t="s">
        <v>215</v>
      </c>
      <c r="C4" s="989"/>
      <c r="D4" s="989"/>
      <c r="E4" s="989"/>
      <c r="F4" s="989"/>
      <c r="G4" s="989"/>
      <c r="H4" s="989"/>
      <c r="I4" s="989"/>
      <c r="J4" s="989"/>
      <c r="K4" s="989"/>
      <c r="L4" s="989"/>
      <c r="M4" s="990"/>
    </row>
    <row r="5" spans="2:13" ht="45.6" x14ac:dyDescent="0.3">
      <c r="B5" s="281" t="s">
        <v>318</v>
      </c>
      <c r="C5" s="282" t="s">
        <v>319</v>
      </c>
      <c r="D5" s="283" t="s">
        <v>320</v>
      </c>
      <c r="E5" s="283" t="s">
        <v>459</v>
      </c>
      <c r="F5" s="283" t="s">
        <v>321</v>
      </c>
      <c r="G5" s="283" t="s">
        <v>322</v>
      </c>
      <c r="H5" s="283" t="s">
        <v>323</v>
      </c>
      <c r="I5" s="283" t="s">
        <v>324</v>
      </c>
      <c r="J5" s="283" t="s">
        <v>325</v>
      </c>
      <c r="K5" s="282" t="s">
        <v>326</v>
      </c>
      <c r="L5" s="282" t="s">
        <v>327</v>
      </c>
      <c r="M5" s="284" t="s">
        <v>2</v>
      </c>
    </row>
    <row r="6" spans="2:13" ht="14.25" customHeight="1" x14ac:dyDescent="0.3">
      <c r="B6" s="285"/>
      <c r="C6" s="286"/>
      <c r="D6" s="287" t="s">
        <v>289</v>
      </c>
      <c r="E6" s="287" t="s">
        <v>289</v>
      </c>
      <c r="F6" s="287" t="s">
        <v>328</v>
      </c>
      <c r="G6" s="287" t="s">
        <v>310</v>
      </c>
      <c r="H6" s="287" t="s">
        <v>310</v>
      </c>
      <c r="I6" s="287" t="s">
        <v>310</v>
      </c>
      <c r="J6" s="287" t="s">
        <v>310</v>
      </c>
      <c r="K6" s="287" t="s">
        <v>310</v>
      </c>
      <c r="L6" s="287" t="s">
        <v>329</v>
      </c>
      <c r="M6" s="284"/>
    </row>
    <row r="7" spans="2:13" ht="15.6" x14ac:dyDescent="0.25">
      <c r="B7" s="281">
        <v>1</v>
      </c>
      <c r="C7" s="282">
        <v>2</v>
      </c>
      <c r="D7" s="282">
        <v>3</v>
      </c>
      <c r="E7" s="282">
        <v>4</v>
      </c>
      <c r="F7" s="282">
        <v>5</v>
      </c>
      <c r="G7" s="282">
        <v>6</v>
      </c>
      <c r="H7" s="282">
        <v>7</v>
      </c>
      <c r="I7" s="282">
        <v>8</v>
      </c>
      <c r="J7" s="282">
        <v>9</v>
      </c>
      <c r="K7" s="282">
        <v>10</v>
      </c>
      <c r="L7" s="282">
        <v>11</v>
      </c>
      <c r="M7" s="773">
        <v>12</v>
      </c>
    </row>
    <row r="8" spans="2:13" ht="15.6" x14ac:dyDescent="0.3">
      <c r="B8" s="288" t="s">
        <v>330</v>
      </c>
      <c r="C8" s="289" t="s">
        <v>202</v>
      </c>
      <c r="D8" s="139">
        <v>15000</v>
      </c>
      <c r="E8" s="139">
        <v>138255</v>
      </c>
      <c r="F8" s="28">
        <v>462.69299999999998</v>
      </c>
      <c r="G8" s="28">
        <v>536.77459999999996</v>
      </c>
      <c r="H8" s="28">
        <v>2804.9024250000002</v>
      </c>
      <c r="I8" s="290">
        <v>-42.073536400000009</v>
      </c>
      <c r="J8" s="290">
        <v>7.2601452000000002</v>
      </c>
      <c r="K8" s="28">
        <v>3306.8636337999997</v>
      </c>
      <c r="L8" s="28">
        <v>7.1469930035682401</v>
      </c>
      <c r="M8" s="318" t="s">
        <v>3</v>
      </c>
    </row>
    <row r="9" spans="2:13" ht="15.6" x14ac:dyDescent="0.3">
      <c r="B9" s="288" t="s">
        <v>331</v>
      </c>
      <c r="C9" s="289" t="s">
        <v>202</v>
      </c>
      <c r="D9" s="139">
        <v>5000</v>
      </c>
      <c r="E9" s="291">
        <v>68862</v>
      </c>
      <c r="F9" s="292">
        <v>257.16449999999998</v>
      </c>
      <c r="G9" s="292">
        <v>285.12349999999998</v>
      </c>
      <c r="H9" s="292">
        <v>1560.2547374999999</v>
      </c>
      <c r="I9" s="290">
        <v>-26.724549400000001</v>
      </c>
      <c r="J9" s="290">
        <v>7.3720184999999994</v>
      </c>
      <c r="K9" s="28">
        <v>1826.0257065999999</v>
      </c>
      <c r="L9" s="28">
        <v>7.1006134462571628</v>
      </c>
      <c r="M9" s="318" t="s">
        <v>3</v>
      </c>
    </row>
    <row r="10" spans="2:13" ht="15.6" x14ac:dyDescent="0.3">
      <c r="B10" s="293" t="s">
        <v>478</v>
      </c>
      <c r="C10" s="289" t="s">
        <v>202</v>
      </c>
      <c r="D10" s="139">
        <v>1000</v>
      </c>
      <c r="E10" s="291">
        <v>12794</v>
      </c>
      <c r="F10" s="28">
        <v>46.354999999999997</v>
      </c>
      <c r="G10" s="292">
        <v>51.239199999999997</v>
      </c>
      <c r="H10" s="292">
        <v>281.07731250000001</v>
      </c>
      <c r="I10" s="290">
        <v>0</v>
      </c>
      <c r="J10" s="290">
        <v>29.266606249999999</v>
      </c>
      <c r="K10" s="28">
        <v>361.58311874999998</v>
      </c>
      <c r="L10" s="28">
        <v>7.8003045787940897</v>
      </c>
      <c r="M10" s="318" t="s">
        <v>3</v>
      </c>
    </row>
    <row r="11" spans="2:13" ht="15.6" x14ac:dyDescent="0.3">
      <c r="B11" s="293" t="s">
        <v>332</v>
      </c>
      <c r="C11" s="289" t="s">
        <v>202</v>
      </c>
      <c r="D11" s="139">
        <v>1600</v>
      </c>
      <c r="E11" s="294">
        <v>3600</v>
      </c>
      <c r="F11" s="28">
        <v>5.5407900000000003</v>
      </c>
      <c r="G11" s="28">
        <v>14.76</v>
      </c>
      <c r="H11" s="28">
        <v>37.449885000000002</v>
      </c>
      <c r="I11" s="292">
        <v>-0.5749031</v>
      </c>
      <c r="J11" s="290">
        <v>3.0233296000000007</v>
      </c>
      <c r="K11" s="28">
        <v>54.658311500000003</v>
      </c>
      <c r="L11" s="28">
        <v>9.8647145082199472</v>
      </c>
      <c r="M11" s="318" t="s">
        <v>3</v>
      </c>
    </row>
    <row r="12" spans="2:13" ht="15.6" x14ac:dyDescent="0.3">
      <c r="B12" s="295" t="s">
        <v>55</v>
      </c>
      <c r="C12" s="296"/>
      <c r="D12" s="297"/>
      <c r="E12" s="298">
        <v>223511</v>
      </c>
      <c r="F12" s="299">
        <v>771.75328999999999</v>
      </c>
      <c r="G12" s="299">
        <v>887.89729999999986</v>
      </c>
      <c r="H12" s="299">
        <v>4683.6843599999993</v>
      </c>
      <c r="I12" s="299">
        <v>-69.37298890000001</v>
      </c>
      <c r="J12" s="299">
        <v>46.922099550000006</v>
      </c>
      <c r="K12" s="299">
        <v>5549.1307706499992</v>
      </c>
      <c r="L12" s="299">
        <v>7.1902910457952167</v>
      </c>
      <c r="M12" s="284"/>
    </row>
    <row r="13" spans="2:13" ht="15.6" x14ac:dyDescent="0.3">
      <c r="B13" s="300"/>
      <c r="C13" s="105"/>
      <c r="D13" s="105"/>
      <c r="E13" s="294"/>
      <c r="F13" s="301"/>
      <c r="G13" s="301"/>
      <c r="H13" s="301"/>
      <c r="I13" s="301"/>
      <c r="J13" s="301"/>
      <c r="K13" s="301"/>
      <c r="L13" s="302"/>
      <c r="M13" s="270"/>
    </row>
    <row r="14" spans="2:13" ht="15.6" x14ac:dyDescent="0.3">
      <c r="B14" s="303" t="s">
        <v>31</v>
      </c>
      <c r="C14" s="304"/>
      <c r="D14" s="304"/>
      <c r="E14" s="305">
        <v>223511</v>
      </c>
      <c r="F14" s="306">
        <v>771.75328999999999</v>
      </c>
      <c r="G14" s="307">
        <v>887.89729999999986</v>
      </c>
      <c r="H14" s="307">
        <v>4683.6843599999993</v>
      </c>
      <c r="I14" s="307">
        <v>-69.37298890000001</v>
      </c>
      <c r="J14" s="307">
        <v>46.922099550000006</v>
      </c>
      <c r="K14" s="307">
        <v>5549.1307706499992</v>
      </c>
      <c r="L14" s="299">
        <v>7.1902910457952167</v>
      </c>
      <c r="M14" s="308"/>
    </row>
    <row r="15" spans="2:13" ht="15.6" x14ac:dyDescent="0.3">
      <c r="B15" s="309" t="s">
        <v>333</v>
      </c>
      <c r="C15" s="310"/>
      <c r="D15" s="310"/>
      <c r="E15" s="310"/>
      <c r="F15" s="311"/>
      <c r="G15" s="311"/>
      <c r="H15" s="311"/>
      <c r="I15" s="311"/>
      <c r="J15" s="311"/>
      <c r="K15" s="311"/>
      <c r="L15" s="311"/>
      <c r="M15" s="312"/>
    </row>
    <row r="16" spans="2:13" ht="16.2" thickBot="1" x14ac:dyDescent="0.35">
      <c r="B16" s="313" t="s">
        <v>334</v>
      </c>
      <c r="C16" s="314"/>
      <c r="D16" s="314"/>
      <c r="E16" s="315">
        <v>202834</v>
      </c>
      <c r="F16" s="316">
        <v>669.66570000000013</v>
      </c>
      <c r="G16" s="316">
        <v>753.05496670000002</v>
      </c>
      <c r="H16" s="316">
        <v>3945.6195436000003</v>
      </c>
      <c r="I16" s="316">
        <v>-58.6190578</v>
      </c>
      <c r="J16" s="316">
        <v>12.8281589</v>
      </c>
      <c r="K16" s="316">
        <v>4652.8836113999996</v>
      </c>
      <c r="L16" s="664">
        <v>6.9480691804881136</v>
      </c>
      <c r="M16" s="317"/>
    </row>
    <row r="21" spans="2:13" x14ac:dyDescent="0.25">
      <c r="B21" s="177"/>
      <c r="M21" s="178"/>
    </row>
    <row r="22" spans="2:13" x14ac:dyDescent="0.25">
      <c r="B22" s="177"/>
      <c r="M22" s="179"/>
    </row>
    <row r="27" spans="2:13" ht="14.4" x14ac:dyDescent="0.3">
      <c r="B27" s="180"/>
      <c r="C27" s="181"/>
      <c r="D27" s="257"/>
      <c r="M27" s="182"/>
    </row>
    <row r="28" spans="2:13" ht="14.4" x14ac:dyDescent="0.3">
      <c r="B28" s="180"/>
      <c r="C28" s="183"/>
      <c r="D28" s="257"/>
      <c r="M28" s="182"/>
    </row>
    <row r="29" spans="2:13" ht="14.4" x14ac:dyDescent="0.3">
      <c r="B29" s="258"/>
      <c r="C29" s="258"/>
      <c r="D29" s="258"/>
      <c r="E29" s="258"/>
    </row>
    <row r="30" spans="2:13" ht="14.4" x14ac:dyDescent="0.3">
      <c r="B30" s="258"/>
      <c r="C30" s="258"/>
      <c r="D30" s="258"/>
      <c r="F30" s="182"/>
    </row>
    <row r="31" spans="2:13" ht="14.4" x14ac:dyDescent="0.3">
      <c r="C31" s="258"/>
      <c r="D31" s="258"/>
      <c r="F31" s="259"/>
    </row>
    <row r="32" spans="2:13" ht="14.4" x14ac:dyDescent="0.3">
      <c r="C32" s="258"/>
      <c r="D32" s="258"/>
      <c r="E32" s="260"/>
      <c r="F32" s="259"/>
    </row>
    <row r="33" spans="3:6" ht="14.4" x14ac:dyDescent="0.3">
      <c r="C33" s="258"/>
      <c r="D33" s="258"/>
      <c r="E33" s="258"/>
      <c r="F33" s="261"/>
    </row>
  </sheetData>
  <mergeCells count="3">
    <mergeCell ref="B2:M2"/>
    <mergeCell ref="B3:M3"/>
    <mergeCell ref="B4:M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7" orientation="landscape" r:id="rId1"/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C00000"/>
    <pageSetUpPr fitToPage="1"/>
  </sheetPr>
  <dimension ref="B1:I89"/>
  <sheetViews>
    <sheetView view="pageBreakPreview" topLeftCell="A58" zoomScale="85" zoomScaleNormal="100" zoomScaleSheetLayoutView="85" workbookViewId="0">
      <selection activeCell="I1" sqref="I1:S1048576"/>
    </sheetView>
  </sheetViews>
  <sheetFormatPr defaultColWidth="9.109375" defaultRowHeight="13.8" x14ac:dyDescent="0.25"/>
  <cols>
    <col min="1" max="1" width="9.109375" style="1"/>
    <col min="2" max="2" width="7.21875" style="1" bestFit="1" customWidth="1"/>
    <col min="3" max="3" width="43.77734375" style="1" customWidth="1"/>
    <col min="4" max="4" width="11.33203125" style="1" bestFit="1" customWidth="1"/>
    <col min="5" max="7" width="13.33203125" style="1" bestFit="1" customWidth="1"/>
    <col min="8" max="8" width="10.21875" style="1" bestFit="1" customWidth="1"/>
    <col min="9" max="16384" width="9.109375" style="1"/>
  </cols>
  <sheetData>
    <row r="1" spans="2:8" ht="14.4" thickBot="1" x14ac:dyDescent="0.3"/>
    <row r="2" spans="2:8" ht="14.4" thickBot="1" x14ac:dyDescent="0.3">
      <c r="B2" s="991" t="s">
        <v>538</v>
      </c>
      <c r="C2" s="992"/>
      <c r="D2" s="992"/>
      <c r="E2" s="992"/>
      <c r="F2" s="992"/>
      <c r="G2" s="992"/>
      <c r="H2" s="993"/>
    </row>
    <row r="3" spans="2:8" ht="14.4" thickBot="1" x14ac:dyDescent="0.3">
      <c r="B3" s="994" t="s">
        <v>335</v>
      </c>
      <c r="C3" s="995"/>
      <c r="D3" s="995"/>
      <c r="E3" s="995"/>
      <c r="F3" s="995"/>
      <c r="G3" s="995"/>
      <c r="H3" s="996"/>
    </row>
    <row r="4" spans="2:8" ht="14.4" thickBot="1" x14ac:dyDescent="0.3">
      <c r="B4" s="994" t="s">
        <v>336</v>
      </c>
      <c r="C4" s="995"/>
      <c r="D4" s="995"/>
      <c r="E4" s="995"/>
      <c r="F4" s="995"/>
      <c r="G4" s="995"/>
      <c r="H4" s="996"/>
    </row>
    <row r="5" spans="2:8" x14ac:dyDescent="0.25">
      <c r="B5" s="997" t="s">
        <v>337</v>
      </c>
      <c r="C5" s="999" t="s">
        <v>1</v>
      </c>
      <c r="D5" s="999" t="s">
        <v>107</v>
      </c>
      <c r="E5" s="662" t="s">
        <v>551</v>
      </c>
      <c r="F5" s="662" t="s">
        <v>551</v>
      </c>
      <c r="G5" s="662" t="s">
        <v>517</v>
      </c>
      <c r="H5" s="319" t="s">
        <v>2</v>
      </c>
    </row>
    <row r="6" spans="2:8" x14ac:dyDescent="0.25">
      <c r="B6" s="998"/>
      <c r="C6" s="1000"/>
      <c r="D6" s="1000"/>
      <c r="E6" s="320" t="s">
        <v>3</v>
      </c>
      <c r="F6" s="320" t="s">
        <v>156</v>
      </c>
      <c r="G6" s="320" t="s">
        <v>3</v>
      </c>
      <c r="H6" s="321"/>
    </row>
    <row r="7" spans="2:8" ht="14.4" thickBot="1" x14ac:dyDescent="0.3">
      <c r="B7" s="322">
        <v>1</v>
      </c>
      <c r="C7" s="323">
        <v>2</v>
      </c>
      <c r="D7" s="323">
        <v>3</v>
      </c>
      <c r="E7" s="324">
        <v>4</v>
      </c>
      <c r="F7" s="323">
        <v>5</v>
      </c>
      <c r="G7" s="323">
        <v>6</v>
      </c>
      <c r="H7" s="325">
        <v>7</v>
      </c>
    </row>
    <row r="8" spans="2:8" x14ac:dyDescent="0.25">
      <c r="B8" s="326">
        <v>1</v>
      </c>
      <c r="C8" s="327" t="s">
        <v>338</v>
      </c>
      <c r="D8" s="328"/>
      <c r="E8" s="329">
        <v>60.021797499999998</v>
      </c>
      <c r="F8" s="329">
        <v>28.35</v>
      </c>
      <c r="G8" s="329">
        <v>54.535589999999999</v>
      </c>
      <c r="H8" s="330"/>
    </row>
    <row r="9" spans="2:8" x14ac:dyDescent="0.25">
      <c r="B9" s="331">
        <v>2</v>
      </c>
      <c r="C9" s="332" t="s">
        <v>339</v>
      </c>
      <c r="D9" s="333"/>
      <c r="E9" s="334">
        <v>503.62495999999999</v>
      </c>
      <c r="F9" s="334">
        <v>331.51</v>
      </c>
      <c r="G9" s="334">
        <v>447.65003000000002</v>
      </c>
      <c r="H9" s="335"/>
    </row>
    <row r="10" spans="2:8" x14ac:dyDescent="0.25">
      <c r="B10" s="331">
        <v>3</v>
      </c>
      <c r="C10" s="332" t="s">
        <v>340</v>
      </c>
      <c r="D10" s="333"/>
      <c r="E10" s="334">
        <v>95.356454781199986</v>
      </c>
      <c r="F10" s="334">
        <v>37.69</v>
      </c>
      <c r="G10" s="334">
        <v>92.051371647070965</v>
      </c>
      <c r="H10" s="335"/>
    </row>
    <row r="11" spans="2:8" x14ac:dyDescent="0.25">
      <c r="B11" s="336">
        <v>4</v>
      </c>
      <c r="C11" s="337" t="s">
        <v>341</v>
      </c>
      <c r="D11" s="338"/>
      <c r="E11" s="339">
        <v>659.00321228120004</v>
      </c>
      <c r="F11" s="339">
        <v>397.55</v>
      </c>
      <c r="G11" s="339">
        <v>594.23699164707091</v>
      </c>
      <c r="H11" s="340"/>
    </row>
    <row r="13" spans="2:8" ht="14.4" thickBot="1" x14ac:dyDescent="0.3">
      <c r="C13" s="1" t="s">
        <v>342</v>
      </c>
    </row>
    <row r="14" spans="2:8" ht="14.4" thickBot="1" x14ac:dyDescent="0.3">
      <c r="B14" s="991" t="s">
        <v>343</v>
      </c>
      <c r="C14" s="992"/>
      <c r="D14" s="992"/>
      <c r="E14" s="992"/>
      <c r="F14" s="992"/>
      <c r="G14" s="992"/>
      <c r="H14" s="993"/>
    </row>
    <row r="15" spans="2:8" ht="14.4" thickBot="1" x14ac:dyDescent="0.3">
      <c r="B15" s="994" t="s">
        <v>335</v>
      </c>
      <c r="C15" s="995"/>
      <c r="D15" s="995"/>
      <c r="E15" s="995"/>
      <c r="F15" s="995"/>
      <c r="G15" s="995"/>
      <c r="H15" s="996"/>
    </row>
    <row r="16" spans="2:8" ht="14.4" thickBot="1" x14ac:dyDescent="0.3">
      <c r="B16" s="1001" t="s">
        <v>344</v>
      </c>
      <c r="C16" s="1002"/>
      <c r="D16" s="1002"/>
      <c r="E16" s="1002"/>
      <c r="F16" s="1002"/>
      <c r="G16" s="1002"/>
      <c r="H16" s="1003"/>
    </row>
    <row r="17" spans="2:9" x14ac:dyDescent="0.25">
      <c r="B17" s="1004" t="s">
        <v>26</v>
      </c>
      <c r="C17" s="1006" t="s">
        <v>1</v>
      </c>
      <c r="D17" s="1006" t="s">
        <v>107</v>
      </c>
      <c r="E17" s="662" t="s">
        <v>551</v>
      </c>
      <c r="F17" s="662" t="s">
        <v>551</v>
      </c>
      <c r="G17" s="662" t="s">
        <v>517</v>
      </c>
      <c r="H17" s="1008" t="s">
        <v>2</v>
      </c>
    </row>
    <row r="18" spans="2:9" x14ac:dyDescent="0.25">
      <c r="B18" s="1005"/>
      <c r="C18" s="1007"/>
      <c r="D18" s="1007"/>
      <c r="E18" s="320" t="s">
        <v>3</v>
      </c>
      <c r="F18" s="320" t="s">
        <v>437</v>
      </c>
      <c r="G18" s="320" t="s">
        <v>3</v>
      </c>
      <c r="H18" s="1009"/>
    </row>
    <row r="19" spans="2:9" x14ac:dyDescent="0.25">
      <c r="B19" s="341">
        <v>1</v>
      </c>
      <c r="C19" s="342">
        <v>2</v>
      </c>
      <c r="D19" s="342">
        <v>3</v>
      </c>
      <c r="E19" s="342">
        <v>4</v>
      </c>
      <c r="F19" s="342">
        <v>5</v>
      </c>
      <c r="G19" s="343">
        <v>6</v>
      </c>
      <c r="H19" s="344">
        <v>7</v>
      </c>
    </row>
    <row r="20" spans="2:9" x14ac:dyDescent="0.25">
      <c r="B20" s="345">
        <v>1</v>
      </c>
      <c r="C20" s="346" t="s">
        <v>37</v>
      </c>
      <c r="D20" s="346"/>
      <c r="E20" s="802">
        <v>1966350</v>
      </c>
      <c r="F20" s="802"/>
      <c r="G20" s="802">
        <v>1723740</v>
      </c>
      <c r="H20" s="348"/>
      <c r="I20" s="387"/>
    </row>
    <row r="21" spans="2:9" x14ac:dyDescent="0.25">
      <c r="B21" s="345">
        <v>2</v>
      </c>
      <c r="C21" s="346" t="s">
        <v>38</v>
      </c>
      <c r="D21" s="346"/>
      <c r="E21" s="802">
        <v>707886</v>
      </c>
      <c r="F21" s="802"/>
      <c r="G21" s="802">
        <v>620546</v>
      </c>
      <c r="H21" s="348"/>
      <c r="I21" s="387"/>
    </row>
    <row r="22" spans="2:9" x14ac:dyDescent="0.25">
      <c r="B22" s="345">
        <v>3</v>
      </c>
      <c r="C22" s="346" t="s">
        <v>39</v>
      </c>
      <c r="D22" s="346"/>
      <c r="E22" s="802">
        <v>75900</v>
      </c>
      <c r="F22" s="802"/>
      <c r="G22" s="802">
        <v>59400</v>
      </c>
      <c r="H22" s="348"/>
      <c r="I22" s="387"/>
    </row>
    <row r="23" spans="2:9" x14ac:dyDescent="0.25">
      <c r="B23" s="345">
        <v>4</v>
      </c>
      <c r="C23" s="346" t="s">
        <v>213</v>
      </c>
      <c r="D23" s="346"/>
      <c r="E23" s="802">
        <v>13950</v>
      </c>
      <c r="F23" s="802"/>
      <c r="G23" s="802">
        <v>10700</v>
      </c>
      <c r="H23" s="348"/>
      <c r="I23" s="387"/>
    </row>
    <row r="24" spans="2:9" x14ac:dyDescent="0.25">
      <c r="B24" s="345">
        <v>5</v>
      </c>
      <c r="C24" s="346" t="s">
        <v>474</v>
      </c>
      <c r="D24" s="346"/>
      <c r="E24" s="802">
        <v>198568</v>
      </c>
      <c r="F24" s="802"/>
      <c r="G24" s="802">
        <v>0</v>
      </c>
      <c r="H24" s="348"/>
      <c r="I24" s="387"/>
    </row>
    <row r="25" spans="2:9" x14ac:dyDescent="0.25">
      <c r="B25" s="345">
        <v>6</v>
      </c>
      <c r="C25" s="346" t="s">
        <v>454</v>
      </c>
      <c r="D25" s="346"/>
      <c r="E25" s="802"/>
      <c r="F25" s="802"/>
      <c r="G25" s="802">
        <v>0</v>
      </c>
      <c r="H25" s="348"/>
      <c r="I25" s="387"/>
    </row>
    <row r="26" spans="2:9" x14ac:dyDescent="0.25">
      <c r="B26" s="345">
        <v>7</v>
      </c>
      <c r="C26" s="346" t="s">
        <v>475</v>
      </c>
      <c r="D26" s="346"/>
      <c r="E26" s="802">
        <v>3039525.75</v>
      </c>
      <c r="F26" s="802"/>
      <c r="G26" s="802">
        <v>3039173</v>
      </c>
      <c r="H26" s="348"/>
      <c r="I26" s="387"/>
    </row>
    <row r="27" spans="2:9" x14ac:dyDescent="0.25">
      <c r="B27" s="345">
        <v>8</v>
      </c>
      <c r="C27" s="346" t="s">
        <v>40</v>
      </c>
      <c r="D27" s="346"/>
      <c r="E27" s="803"/>
      <c r="F27" s="803"/>
      <c r="G27" s="803">
        <v>0</v>
      </c>
      <c r="H27" s="348"/>
      <c r="I27" s="387"/>
    </row>
    <row r="28" spans="2:9" x14ac:dyDescent="0.25">
      <c r="B28" s="341">
        <v>9</v>
      </c>
      <c r="C28" s="349" t="s">
        <v>41</v>
      </c>
      <c r="D28" s="349"/>
      <c r="E28" s="350">
        <v>6002179.75</v>
      </c>
      <c r="F28" s="350">
        <v>0</v>
      </c>
      <c r="G28" s="350">
        <v>5453559</v>
      </c>
      <c r="H28" s="351"/>
    </row>
    <row r="29" spans="2:9" x14ac:dyDescent="0.25">
      <c r="B29" s="352">
        <v>10</v>
      </c>
      <c r="C29" s="353" t="s">
        <v>42</v>
      </c>
      <c r="D29" s="354"/>
      <c r="E29" s="355"/>
      <c r="F29" s="355"/>
      <c r="G29" s="355"/>
      <c r="H29" s="356"/>
    </row>
    <row r="30" spans="2:9" ht="14.4" thickBot="1" x14ac:dyDescent="0.3">
      <c r="B30" s="357">
        <v>11</v>
      </c>
      <c r="C30" s="358" t="s">
        <v>43</v>
      </c>
      <c r="D30" s="358"/>
      <c r="E30" s="359">
        <v>6002179.75</v>
      </c>
      <c r="F30" s="359">
        <v>0</v>
      </c>
      <c r="G30" s="359">
        <v>5453559</v>
      </c>
      <c r="H30" s="360"/>
    </row>
    <row r="31" spans="2:9" x14ac:dyDescent="0.25">
      <c r="F31" s="127"/>
    </row>
    <row r="32" spans="2:9" ht="14.4" thickBot="1" x14ac:dyDescent="0.3"/>
    <row r="33" spans="2:8" ht="14.4" thickBot="1" x14ac:dyDescent="0.3">
      <c r="B33" s="991" t="s">
        <v>345</v>
      </c>
      <c r="C33" s="992"/>
      <c r="D33" s="992"/>
      <c r="E33" s="992"/>
      <c r="F33" s="992"/>
      <c r="G33" s="992"/>
      <c r="H33" s="993"/>
    </row>
    <row r="34" spans="2:8" ht="14.4" thickBot="1" x14ac:dyDescent="0.3">
      <c r="B34" s="994" t="s">
        <v>335</v>
      </c>
      <c r="C34" s="995"/>
      <c r="D34" s="995"/>
      <c r="E34" s="995"/>
      <c r="F34" s="995"/>
      <c r="G34" s="995"/>
      <c r="H34" s="996"/>
    </row>
    <row r="35" spans="2:8" ht="14.4" thickBot="1" x14ac:dyDescent="0.3">
      <c r="B35" s="1001" t="s">
        <v>344</v>
      </c>
      <c r="C35" s="1002"/>
      <c r="D35" s="1002"/>
      <c r="E35" s="1002"/>
      <c r="F35" s="1002"/>
      <c r="G35" s="1002"/>
      <c r="H35" s="1003"/>
    </row>
    <row r="36" spans="2:8" x14ac:dyDescent="0.25">
      <c r="B36" s="1004" t="s">
        <v>26</v>
      </c>
      <c r="C36" s="1006" t="s">
        <v>1</v>
      </c>
      <c r="D36" s="1006" t="s">
        <v>36</v>
      </c>
      <c r="E36" s="662" t="s">
        <v>551</v>
      </c>
      <c r="F36" s="662" t="s">
        <v>551</v>
      </c>
      <c r="G36" s="662" t="s">
        <v>517</v>
      </c>
      <c r="H36" s="361" t="s">
        <v>2</v>
      </c>
    </row>
    <row r="37" spans="2:8" x14ac:dyDescent="0.25">
      <c r="B37" s="1005"/>
      <c r="C37" s="1007"/>
      <c r="D37" s="1007"/>
      <c r="E37" s="320" t="s">
        <v>3</v>
      </c>
      <c r="F37" s="320" t="s">
        <v>437</v>
      </c>
      <c r="G37" s="320" t="s">
        <v>3</v>
      </c>
      <c r="H37" s="344"/>
    </row>
    <row r="38" spans="2:8" ht="14.4" thickBot="1" x14ac:dyDescent="0.3">
      <c r="B38" s="357">
        <v>1</v>
      </c>
      <c r="C38" s="362">
        <v>2</v>
      </c>
      <c r="D38" s="362">
        <v>3</v>
      </c>
      <c r="E38" s="362">
        <v>4</v>
      </c>
      <c r="F38" s="362">
        <v>5</v>
      </c>
      <c r="G38" s="362">
        <v>6</v>
      </c>
      <c r="H38" s="363">
        <v>7</v>
      </c>
    </row>
    <row r="39" spans="2:8" x14ac:dyDescent="0.25">
      <c r="B39" s="364">
        <v>1</v>
      </c>
      <c r="C39" s="666" t="s">
        <v>44</v>
      </c>
      <c r="D39" s="365"/>
      <c r="E39" s="804">
        <v>284510</v>
      </c>
      <c r="F39" s="805"/>
      <c r="G39" s="804">
        <v>288890</v>
      </c>
      <c r="H39" s="366"/>
    </row>
    <row r="40" spans="2:8" x14ac:dyDescent="0.25">
      <c r="B40" s="345">
        <v>2</v>
      </c>
      <c r="C40" s="667" t="s">
        <v>45</v>
      </c>
      <c r="D40" s="346"/>
      <c r="E40" s="802">
        <v>48779</v>
      </c>
      <c r="F40" s="806"/>
      <c r="G40" s="802">
        <v>34925</v>
      </c>
      <c r="H40" s="348"/>
    </row>
    <row r="41" spans="2:8" x14ac:dyDescent="0.25">
      <c r="B41" s="345">
        <v>3</v>
      </c>
      <c r="C41" s="667" t="s">
        <v>464</v>
      </c>
      <c r="D41" s="346"/>
      <c r="E41" s="802">
        <v>33000</v>
      </c>
      <c r="F41" s="806"/>
      <c r="G41" s="802">
        <v>66000</v>
      </c>
      <c r="H41" s="348"/>
    </row>
    <row r="42" spans="2:8" x14ac:dyDescent="0.25">
      <c r="B42" s="364">
        <v>4</v>
      </c>
      <c r="C42" s="667" t="s">
        <v>483</v>
      </c>
      <c r="D42" s="346"/>
      <c r="E42" s="802">
        <v>654940</v>
      </c>
      <c r="F42" s="806"/>
      <c r="G42" s="802">
        <v>552050</v>
      </c>
      <c r="H42" s="348"/>
    </row>
    <row r="43" spans="2:8" x14ac:dyDescent="0.25">
      <c r="B43" s="345">
        <v>5</v>
      </c>
      <c r="C43" s="668" t="s">
        <v>46</v>
      </c>
      <c r="D43" s="346"/>
      <c r="E43" s="802">
        <v>1225980</v>
      </c>
      <c r="F43" s="806"/>
      <c r="G43" s="802">
        <v>1210332.9000000001</v>
      </c>
      <c r="H43" s="348"/>
    </row>
    <row r="44" spans="2:8" x14ac:dyDescent="0.25">
      <c r="B44" s="345">
        <v>6</v>
      </c>
      <c r="C44" s="668" t="s">
        <v>477</v>
      </c>
      <c r="D44" s="346"/>
      <c r="E44" s="802">
        <v>1175160</v>
      </c>
      <c r="F44" s="806"/>
      <c r="G44" s="802">
        <v>100000</v>
      </c>
      <c r="H44" s="348"/>
    </row>
    <row r="45" spans="2:8" x14ac:dyDescent="0.25">
      <c r="B45" s="364">
        <v>7</v>
      </c>
      <c r="C45" s="669" t="s">
        <v>47</v>
      </c>
      <c r="D45" s="346"/>
      <c r="E45" s="802">
        <v>367213.5</v>
      </c>
      <c r="F45" s="806"/>
      <c r="G45" s="802">
        <v>188951.5</v>
      </c>
      <c r="H45" s="348"/>
    </row>
    <row r="46" spans="2:8" x14ac:dyDescent="0.25">
      <c r="B46" s="345">
        <v>8</v>
      </c>
      <c r="C46" s="669" t="s">
        <v>484</v>
      </c>
      <c r="D46" s="346"/>
      <c r="E46" s="802">
        <v>154217.97</v>
      </c>
      <c r="F46" s="806"/>
      <c r="G46" s="802">
        <v>129325.58</v>
      </c>
      <c r="H46" s="348"/>
    </row>
    <row r="47" spans="2:8" x14ac:dyDescent="0.25">
      <c r="B47" s="345">
        <v>9</v>
      </c>
      <c r="C47" s="669" t="s">
        <v>485</v>
      </c>
      <c r="D47" s="346"/>
      <c r="E47" s="802">
        <v>181485</v>
      </c>
      <c r="F47" s="806"/>
      <c r="G47" s="802">
        <v>137818</v>
      </c>
      <c r="H47" s="348"/>
    </row>
    <row r="48" spans="2:8" x14ac:dyDescent="0.25">
      <c r="B48" s="364">
        <v>10</v>
      </c>
      <c r="C48" s="667" t="s">
        <v>476</v>
      </c>
      <c r="D48" s="346"/>
      <c r="E48" s="802">
        <v>1231713</v>
      </c>
      <c r="F48" s="806"/>
      <c r="G48" s="802">
        <v>1173060</v>
      </c>
      <c r="H48" s="348"/>
    </row>
    <row r="49" spans="2:8" x14ac:dyDescent="0.25">
      <c r="B49" s="345">
        <v>11</v>
      </c>
      <c r="C49" s="667" t="s">
        <v>486</v>
      </c>
      <c r="D49" s="346"/>
      <c r="E49" s="802"/>
      <c r="F49" s="806"/>
      <c r="G49" s="802">
        <v>1479998</v>
      </c>
      <c r="H49" s="348"/>
    </row>
    <row r="50" spans="2:8" x14ac:dyDescent="0.25">
      <c r="B50" s="345">
        <v>12</v>
      </c>
      <c r="C50" s="667" t="s">
        <v>488</v>
      </c>
      <c r="D50" s="346"/>
      <c r="E50" s="802">
        <v>0</v>
      </c>
      <c r="F50" s="806"/>
      <c r="G50" s="802">
        <v>118000</v>
      </c>
      <c r="H50" s="348"/>
    </row>
    <row r="51" spans="2:8" x14ac:dyDescent="0.25">
      <c r="B51" s="345">
        <v>13</v>
      </c>
      <c r="C51" s="667" t="s">
        <v>487</v>
      </c>
      <c r="D51" s="346"/>
      <c r="E51" s="802">
        <v>38000</v>
      </c>
      <c r="F51" s="806"/>
      <c r="G51" s="802">
        <v>28000</v>
      </c>
      <c r="H51" s="348"/>
    </row>
    <row r="52" spans="2:8" x14ac:dyDescent="0.25">
      <c r="B52" s="368">
        <v>14</v>
      </c>
      <c r="C52" s="349" t="s">
        <v>48</v>
      </c>
      <c r="D52" s="349"/>
      <c r="E52" s="369">
        <v>5394998.4700000007</v>
      </c>
      <c r="F52" s="369">
        <v>0</v>
      </c>
      <c r="G52" s="369">
        <v>5507350.9800000004</v>
      </c>
      <c r="H52" s="351"/>
    </row>
    <row r="53" spans="2:8" x14ac:dyDescent="0.25">
      <c r="B53" s="345">
        <v>15</v>
      </c>
      <c r="C53" s="370" t="s">
        <v>49</v>
      </c>
      <c r="D53" s="353"/>
      <c r="E53" s="802">
        <v>4140647.0081199994</v>
      </c>
      <c r="F53" s="806"/>
      <c r="G53" s="802">
        <v>3697786.1847070963</v>
      </c>
      <c r="H53" s="348"/>
    </row>
    <row r="54" spans="2:8" x14ac:dyDescent="0.25">
      <c r="B54" s="345">
        <v>16</v>
      </c>
      <c r="C54" s="354" t="s">
        <v>42</v>
      </c>
      <c r="D54" s="354"/>
      <c r="E54" s="347"/>
      <c r="F54" s="367"/>
      <c r="G54" s="347"/>
      <c r="H54" s="348"/>
    </row>
    <row r="55" spans="2:8" ht="14.4" thickBot="1" x14ac:dyDescent="0.3">
      <c r="B55" s="371">
        <v>17</v>
      </c>
      <c r="C55" s="358" t="s">
        <v>50</v>
      </c>
      <c r="D55" s="358"/>
      <c r="E55" s="372">
        <v>9535645.4781199992</v>
      </c>
      <c r="F55" s="373">
        <v>0</v>
      </c>
      <c r="G55" s="372">
        <v>9205137.1647070963</v>
      </c>
      <c r="H55" s="360"/>
    </row>
    <row r="57" spans="2:8" ht="14.4" thickBot="1" x14ac:dyDescent="0.3">
      <c r="B57" s="1010"/>
      <c r="C57" s="1010"/>
      <c r="D57" s="1010"/>
      <c r="E57" s="1010"/>
      <c r="F57" s="1010"/>
      <c r="G57" s="1010"/>
    </row>
    <row r="58" spans="2:8" ht="14.4" thickBot="1" x14ac:dyDescent="0.3">
      <c r="B58" s="1011" t="s">
        <v>346</v>
      </c>
      <c r="C58" s="1012"/>
      <c r="D58" s="1012"/>
      <c r="E58" s="1012"/>
      <c r="F58" s="1012"/>
      <c r="G58" s="1012"/>
      <c r="H58" s="1013"/>
    </row>
    <row r="59" spans="2:8" ht="14.4" thickBot="1" x14ac:dyDescent="0.3">
      <c r="B59" s="994" t="s">
        <v>269</v>
      </c>
      <c r="C59" s="995"/>
      <c r="D59" s="995"/>
      <c r="E59" s="995"/>
      <c r="F59" s="995"/>
      <c r="G59" s="995"/>
      <c r="H59" s="996"/>
    </row>
    <row r="60" spans="2:8" ht="14.4" thickBot="1" x14ac:dyDescent="0.3">
      <c r="B60" s="1001" t="s">
        <v>347</v>
      </c>
      <c r="C60" s="1002"/>
      <c r="D60" s="1002"/>
      <c r="E60" s="1002"/>
      <c r="F60" s="1002"/>
      <c r="G60" s="1002"/>
      <c r="H60" s="1003"/>
    </row>
    <row r="61" spans="2:8" x14ac:dyDescent="0.25">
      <c r="B61" s="1004" t="s">
        <v>300</v>
      </c>
      <c r="C61" s="1006" t="s">
        <v>1</v>
      </c>
      <c r="D61" s="1006" t="s">
        <v>107</v>
      </c>
      <c r="E61" s="662" t="s">
        <v>551</v>
      </c>
      <c r="F61" s="662" t="s">
        <v>551</v>
      </c>
      <c r="G61" s="662" t="s">
        <v>517</v>
      </c>
      <c r="H61" s="361" t="s">
        <v>2</v>
      </c>
    </row>
    <row r="62" spans="2:8" x14ac:dyDescent="0.25">
      <c r="B62" s="1005"/>
      <c r="C62" s="1007"/>
      <c r="D62" s="1007"/>
      <c r="E62" s="320" t="s">
        <v>3</v>
      </c>
      <c r="F62" s="320" t="s">
        <v>437</v>
      </c>
      <c r="G62" s="320" t="s">
        <v>3</v>
      </c>
      <c r="H62" s="344"/>
    </row>
    <row r="63" spans="2:8" x14ac:dyDescent="0.25">
      <c r="B63" s="341">
        <v>1</v>
      </c>
      <c r="C63" s="342">
        <v>2</v>
      </c>
      <c r="D63" s="342">
        <v>3</v>
      </c>
      <c r="E63" s="342">
        <v>4</v>
      </c>
      <c r="F63" s="342">
        <v>5</v>
      </c>
      <c r="G63" s="342">
        <v>6</v>
      </c>
      <c r="H63" s="344">
        <v>7</v>
      </c>
    </row>
    <row r="64" spans="2:8" x14ac:dyDescent="0.25">
      <c r="B64" s="655">
        <v>1</v>
      </c>
      <c r="C64" s="374" t="s">
        <v>460</v>
      </c>
      <c r="D64" s="375"/>
      <c r="E64" s="807">
        <v>32095503</v>
      </c>
      <c r="F64" s="808"/>
      <c r="G64" s="807">
        <v>26928880</v>
      </c>
      <c r="H64" s="376"/>
    </row>
    <row r="65" spans="2:8" x14ac:dyDescent="0.25">
      <c r="B65" s="655">
        <v>2</v>
      </c>
      <c r="C65" s="374" t="s">
        <v>461</v>
      </c>
      <c r="D65" s="375"/>
      <c r="E65" s="807">
        <v>6923492</v>
      </c>
      <c r="F65" s="808"/>
      <c r="G65" s="807">
        <v>6824741</v>
      </c>
      <c r="H65" s="376"/>
    </row>
    <row r="66" spans="2:8" x14ac:dyDescent="0.25">
      <c r="B66" s="655">
        <v>3</v>
      </c>
      <c r="C66" s="374" t="s">
        <v>462</v>
      </c>
      <c r="D66" s="375"/>
      <c r="E66" s="807">
        <v>3222100</v>
      </c>
      <c r="F66" s="808"/>
      <c r="G66" s="807">
        <v>3297400</v>
      </c>
      <c r="H66" s="376"/>
    </row>
    <row r="67" spans="2:8" x14ac:dyDescent="0.25">
      <c r="B67" s="655">
        <v>4</v>
      </c>
      <c r="C67" s="374" t="s">
        <v>518</v>
      </c>
      <c r="D67" s="375"/>
      <c r="E67" s="807">
        <v>5614408</v>
      </c>
      <c r="F67" s="808"/>
      <c r="G67" s="807">
        <v>3038354</v>
      </c>
      <c r="H67" s="376"/>
    </row>
    <row r="68" spans="2:8" x14ac:dyDescent="0.25">
      <c r="B68" s="655">
        <v>5</v>
      </c>
      <c r="C68" s="665" t="s">
        <v>482</v>
      </c>
      <c r="D68" s="375"/>
      <c r="E68" s="807">
        <v>136619</v>
      </c>
      <c r="F68" s="808"/>
      <c r="G68" s="807">
        <v>1115852</v>
      </c>
      <c r="H68" s="376"/>
    </row>
    <row r="69" spans="2:8" x14ac:dyDescent="0.25">
      <c r="B69" s="655">
        <v>6</v>
      </c>
      <c r="C69" s="665" t="s">
        <v>516</v>
      </c>
      <c r="D69" s="375"/>
      <c r="E69" s="807">
        <v>2370374</v>
      </c>
      <c r="F69" s="808"/>
      <c r="G69" s="807">
        <v>3559776</v>
      </c>
      <c r="H69" s="376"/>
    </row>
    <row r="70" spans="2:8" x14ac:dyDescent="0.25">
      <c r="B70" s="341">
        <v>7</v>
      </c>
      <c r="C70" s="377" t="s">
        <v>51</v>
      </c>
      <c r="D70" s="377"/>
      <c r="E70" s="369">
        <v>50362496</v>
      </c>
      <c r="F70" s="369">
        <v>0</v>
      </c>
      <c r="G70" s="369">
        <v>44765003</v>
      </c>
      <c r="H70" s="351"/>
    </row>
    <row r="71" spans="2:8" x14ac:dyDescent="0.25">
      <c r="B71" s="345">
        <v>8</v>
      </c>
      <c r="C71" s="378" t="s">
        <v>42</v>
      </c>
      <c r="D71" s="378"/>
      <c r="E71" s="347"/>
      <c r="F71" s="367"/>
      <c r="G71" s="347">
        <v>0</v>
      </c>
      <c r="H71" s="348"/>
    </row>
    <row r="72" spans="2:8" ht="14.4" thickBot="1" x14ac:dyDescent="0.3">
      <c r="B72" s="357">
        <v>9</v>
      </c>
      <c r="C72" s="379" t="s">
        <v>52</v>
      </c>
      <c r="D72" s="379"/>
      <c r="E72" s="372">
        <v>50362496</v>
      </c>
      <c r="F72" s="373">
        <v>0</v>
      </c>
      <c r="G72" s="372">
        <v>44765003</v>
      </c>
      <c r="H72" s="360"/>
    </row>
    <row r="77" spans="2:8" x14ac:dyDescent="0.25">
      <c r="B77" s="177"/>
      <c r="H77" s="178"/>
    </row>
    <row r="78" spans="2:8" x14ac:dyDescent="0.25">
      <c r="B78" s="177"/>
      <c r="H78" s="179"/>
    </row>
    <row r="83" spans="2:8" x14ac:dyDescent="0.25">
      <c r="B83" s="380"/>
      <c r="C83" s="181"/>
      <c r="D83" s="381"/>
      <c r="H83" s="382"/>
    </row>
    <row r="84" spans="2:8" x14ac:dyDescent="0.25">
      <c r="B84" s="380"/>
      <c r="C84" s="183"/>
      <c r="D84" s="381"/>
      <c r="H84" s="382"/>
    </row>
    <row r="85" spans="2:8" x14ac:dyDescent="0.25">
      <c r="B85" s="383"/>
      <c r="C85" s="383"/>
      <c r="D85" s="383"/>
      <c r="E85" s="383"/>
    </row>
    <row r="86" spans="2:8" x14ac:dyDescent="0.25">
      <c r="B86" s="383"/>
      <c r="C86" s="383"/>
      <c r="D86" s="383"/>
      <c r="F86" s="382"/>
    </row>
    <row r="87" spans="2:8" x14ac:dyDescent="0.25">
      <c r="C87" s="383"/>
      <c r="D87" s="383"/>
      <c r="F87" s="384"/>
    </row>
    <row r="88" spans="2:8" x14ac:dyDescent="0.25">
      <c r="C88" s="383"/>
      <c r="D88" s="383"/>
      <c r="E88" s="385"/>
      <c r="F88" s="384"/>
    </row>
    <row r="89" spans="2:8" x14ac:dyDescent="0.25">
      <c r="C89" s="383"/>
      <c r="D89" s="383"/>
      <c r="E89" s="383"/>
      <c r="F89" s="386"/>
    </row>
  </sheetData>
  <mergeCells count="26">
    <mergeCell ref="B57:G57"/>
    <mergeCell ref="B58:H58"/>
    <mergeCell ref="B59:H59"/>
    <mergeCell ref="B60:H60"/>
    <mergeCell ref="B61:B62"/>
    <mergeCell ref="C61:C62"/>
    <mergeCell ref="D61:D62"/>
    <mergeCell ref="B33:H33"/>
    <mergeCell ref="B34:H34"/>
    <mergeCell ref="B35:H35"/>
    <mergeCell ref="B36:B37"/>
    <mergeCell ref="C36:C37"/>
    <mergeCell ref="D36:D37"/>
    <mergeCell ref="B14:H14"/>
    <mergeCell ref="B15:H15"/>
    <mergeCell ref="B16:H16"/>
    <mergeCell ref="B17:B18"/>
    <mergeCell ref="C17:C18"/>
    <mergeCell ref="D17:D18"/>
    <mergeCell ref="H17:H18"/>
    <mergeCell ref="B2:H2"/>
    <mergeCell ref="B3:H3"/>
    <mergeCell ref="B4:H4"/>
    <mergeCell ref="B5:B6"/>
    <mergeCell ref="C5:C6"/>
    <mergeCell ref="D5:D6"/>
  </mergeCells>
  <printOptions horizontalCentered="1" verticalCentered="1"/>
  <pageMargins left="0.25" right="0.25" top="0.75" bottom="0.75" header="0.3" footer="0.3"/>
  <pageSetup paperSize="9" scale="7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D4DB-8072-44A7-80CF-F2F87E730ED4}">
  <sheetPr>
    <tabColor rgb="FF00B0F0"/>
    <pageSetUpPr fitToPage="1"/>
  </sheetPr>
  <dimension ref="A1:O1000"/>
  <sheetViews>
    <sheetView view="pageBreakPreview" zoomScale="55" zoomScaleNormal="100" zoomScaleSheetLayoutView="55" workbookViewId="0">
      <selection activeCell="B1" sqref="B1"/>
    </sheetView>
  </sheetViews>
  <sheetFormatPr defaultColWidth="14.44140625" defaultRowHeight="15" customHeight="1" x14ac:dyDescent="0.3"/>
  <cols>
    <col min="1" max="1" width="13.88671875" style="827" customWidth="1"/>
    <col min="2" max="2" width="9.33203125" style="827" customWidth="1"/>
    <col min="3" max="3" width="30.6640625" style="827" customWidth="1"/>
    <col min="4" max="4" width="9.33203125" style="827" customWidth="1"/>
    <col min="5" max="9" width="14.6640625" style="827" customWidth="1"/>
    <col min="10" max="11" width="14" style="827" customWidth="1"/>
    <col min="12" max="15" width="14.6640625" style="827" customWidth="1"/>
    <col min="16" max="16384" width="14.44140625" style="827"/>
  </cols>
  <sheetData>
    <row r="1" spans="1:15" ht="16.5" customHeight="1" thickBot="1" x14ac:dyDescent="0.35">
      <c r="A1" s="825"/>
      <c r="B1" s="826"/>
      <c r="C1" s="825"/>
      <c r="D1" s="825"/>
      <c r="E1" s="825"/>
      <c r="F1" s="825"/>
      <c r="G1" s="825"/>
      <c r="H1" s="825"/>
      <c r="I1" s="825"/>
      <c r="J1" s="825"/>
      <c r="K1" s="825"/>
      <c r="L1" s="825"/>
      <c r="M1" s="825"/>
      <c r="N1" s="825"/>
      <c r="O1" s="825"/>
    </row>
    <row r="2" spans="1:15" ht="16.5" customHeight="1" thickBot="1" x14ac:dyDescent="0.35">
      <c r="A2" s="825"/>
      <c r="B2" s="1014" t="s">
        <v>539</v>
      </c>
      <c r="C2" s="1015"/>
      <c r="D2" s="1015"/>
      <c r="E2" s="1015"/>
      <c r="F2" s="1015"/>
      <c r="G2" s="1015"/>
      <c r="H2" s="1015"/>
      <c r="I2" s="1015"/>
      <c r="J2" s="1015"/>
      <c r="K2" s="1015"/>
      <c r="L2" s="1015"/>
      <c r="M2" s="1015"/>
      <c r="N2" s="1015"/>
      <c r="O2" s="1016"/>
    </row>
    <row r="3" spans="1:15" ht="16.5" customHeight="1" thickBot="1" x14ac:dyDescent="0.35">
      <c r="A3" s="825"/>
      <c r="B3" s="1017" t="s">
        <v>269</v>
      </c>
      <c r="C3" s="1018"/>
      <c r="D3" s="1018"/>
      <c r="E3" s="1018"/>
      <c r="F3" s="1018"/>
      <c r="G3" s="1018"/>
      <c r="H3" s="1018"/>
      <c r="I3" s="1018"/>
      <c r="J3" s="1018"/>
      <c r="K3" s="1018"/>
      <c r="L3" s="1018"/>
      <c r="M3" s="1018"/>
      <c r="N3" s="1018"/>
      <c r="O3" s="1019"/>
    </row>
    <row r="4" spans="1:15" ht="16.5" customHeight="1" thickBot="1" x14ac:dyDescent="0.35">
      <c r="A4" s="825"/>
      <c r="B4" s="1020" t="s">
        <v>348</v>
      </c>
      <c r="C4" s="1015"/>
      <c r="D4" s="1015"/>
      <c r="E4" s="1015"/>
      <c r="F4" s="1015"/>
      <c r="G4" s="1015"/>
      <c r="H4" s="1015"/>
      <c r="I4" s="1015"/>
      <c r="J4" s="1015"/>
      <c r="K4" s="1015"/>
      <c r="L4" s="1015"/>
      <c r="M4" s="1015"/>
      <c r="N4" s="1015"/>
      <c r="O4" s="1016"/>
    </row>
    <row r="5" spans="1:15" ht="18" customHeight="1" x14ac:dyDescent="0.3">
      <c r="A5" s="825"/>
      <c r="B5" s="1021" t="s">
        <v>300</v>
      </c>
      <c r="C5" s="1024" t="s">
        <v>349</v>
      </c>
      <c r="D5" s="1024"/>
      <c r="E5" s="1027" t="s">
        <v>56</v>
      </c>
      <c r="F5" s="1028"/>
      <c r="G5" s="1029"/>
      <c r="H5" s="1029"/>
      <c r="I5" s="1029"/>
      <c r="J5" s="1029"/>
      <c r="K5" s="1029"/>
      <c r="L5" s="1029"/>
      <c r="M5" s="1029"/>
      <c r="N5" s="1029"/>
      <c r="O5" s="1030"/>
    </row>
    <row r="6" spans="1:15" ht="18" customHeight="1" x14ac:dyDescent="0.3">
      <c r="A6" s="825"/>
      <c r="B6" s="1022"/>
      <c r="C6" s="1025"/>
      <c r="D6" s="1025"/>
      <c r="E6" s="1031" t="s">
        <v>465</v>
      </c>
      <c r="F6" s="1032"/>
      <c r="G6" s="1033"/>
      <c r="H6" s="1034"/>
      <c r="I6" s="1031" t="s">
        <v>350</v>
      </c>
      <c r="J6" s="1034"/>
      <c r="K6" s="830" t="s">
        <v>519</v>
      </c>
      <c r="L6" s="1031" t="s">
        <v>351</v>
      </c>
      <c r="M6" s="1032"/>
      <c r="N6" s="1033"/>
      <c r="O6" s="1035"/>
    </row>
    <row r="7" spans="1:15" ht="16.5" customHeight="1" x14ac:dyDescent="0.3">
      <c r="A7" s="825"/>
      <c r="B7" s="1023"/>
      <c r="C7" s="1026"/>
      <c r="D7" s="1026"/>
      <c r="E7" s="830" t="s">
        <v>223</v>
      </c>
      <c r="F7" s="830" t="s">
        <v>223</v>
      </c>
      <c r="G7" s="830" t="s">
        <v>224</v>
      </c>
      <c r="H7" s="830" t="s">
        <v>224</v>
      </c>
      <c r="I7" s="830" t="s">
        <v>223</v>
      </c>
      <c r="J7" s="830" t="s">
        <v>224</v>
      </c>
      <c r="K7" s="830" t="s">
        <v>224</v>
      </c>
      <c r="L7" s="830" t="s">
        <v>223</v>
      </c>
      <c r="M7" s="830" t="s">
        <v>223</v>
      </c>
      <c r="N7" s="830" t="s">
        <v>224</v>
      </c>
      <c r="O7" s="831" t="s">
        <v>224</v>
      </c>
    </row>
    <row r="8" spans="1:15" ht="17.25" customHeight="1" thickBot="1" x14ac:dyDescent="0.35">
      <c r="A8" s="825"/>
      <c r="B8" s="832"/>
      <c r="C8" s="833"/>
      <c r="D8" s="833"/>
      <c r="E8" s="833" t="s">
        <v>571</v>
      </c>
      <c r="F8" s="833" t="s">
        <v>572</v>
      </c>
      <c r="G8" s="833" t="s">
        <v>571</v>
      </c>
      <c r="H8" s="833" t="s">
        <v>572</v>
      </c>
      <c r="I8" s="833" t="s">
        <v>573</v>
      </c>
      <c r="J8" s="833" t="s">
        <v>573</v>
      </c>
      <c r="K8" s="830"/>
      <c r="L8" s="833" t="s">
        <v>571</v>
      </c>
      <c r="M8" s="833" t="s">
        <v>572</v>
      </c>
      <c r="N8" s="833" t="s">
        <v>571</v>
      </c>
      <c r="O8" s="834" t="s">
        <v>572</v>
      </c>
    </row>
    <row r="9" spans="1:15" ht="16.5" customHeight="1" x14ac:dyDescent="0.3">
      <c r="A9" s="835"/>
      <c r="B9" s="836">
        <v>1</v>
      </c>
      <c r="C9" s="837" t="s">
        <v>500</v>
      </c>
      <c r="D9" s="838"/>
      <c r="E9" s="839">
        <v>0</v>
      </c>
      <c r="F9" s="839">
        <v>0</v>
      </c>
      <c r="G9" s="839">
        <v>18895000</v>
      </c>
      <c r="H9" s="839">
        <v>0</v>
      </c>
      <c r="I9" s="839">
        <v>0</v>
      </c>
      <c r="J9" s="839">
        <v>0</v>
      </c>
      <c r="K9" s="839"/>
      <c r="L9" s="839">
        <v>0</v>
      </c>
      <c r="M9" s="839">
        <v>0</v>
      </c>
      <c r="N9" s="840">
        <v>18895000</v>
      </c>
      <c r="O9" s="841">
        <v>0</v>
      </c>
    </row>
    <row r="10" spans="1:15" ht="16.5" customHeight="1" x14ac:dyDescent="0.3">
      <c r="A10" s="842"/>
      <c r="B10" s="843">
        <v>2</v>
      </c>
      <c r="C10" s="844" t="s">
        <v>503</v>
      </c>
      <c r="D10" s="845"/>
      <c r="E10" s="846">
        <v>0</v>
      </c>
      <c r="F10" s="846">
        <v>183866335</v>
      </c>
      <c r="G10" s="846">
        <v>66194511.079999998</v>
      </c>
      <c r="H10" s="846">
        <v>0</v>
      </c>
      <c r="I10" s="846">
        <v>0</v>
      </c>
      <c r="J10" s="846">
        <v>0</v>
      </c>
      <c r="K10" s="846"/>
      <c r="L10" s="846">
        <v>0</v>
      </c>
      <c r="M10" s="846">
        <v>183866335</v>
      </c>
      <c r="N10" s="840">
        <v>66194511.079999998</v>
      </c>
      <c r="O10" s="847">
        <v>0</v>
      </c>
    </row>
    <row r="11" spans="1:15" ht="16.5" customHeight="1" x14ac:dyDescent="0.3">
      <c r="A11" s="842"/>
      <c r="B11" s="843">
        <v>3</v>
      </c>
      <c r="C11" s="848" t="s">
        <v>504</v>
      </c>
      <c r="D11" s="846"/>
      <c r="E11" s="846">
        <v>2639539</v>
      </c>
      <c r="F11" s="846">
        <v>166314000</v>
      </c>
      <c r="G11" s="846">
        <v>224495918.19999999</v>
      </c>
      <c r="H11" s="846">
        <v>31495465.340000004</v>
      </c>
      <c r="I11" s="846">
        <v>0</v>
      </c>
      <c r="J11" s="846">
        <v>2641378</v>
      </c>
      <c r="K11" s="846">
        <v>958896</v>
      </c>
      <c r="L11" s="846">
        <v>2639539</v>
      </c>
      <c r="M11" s="846">
        <v>166314000</v>
      </c>
      <c r="N11" s="840">
        <v>223537022.19999999</v>
      </c>
      <c r="O11" s="847">
        <v>34136843.340000004</v>
      </c>
    </row>
    <row r="12" spans="1:15" ht="16.5" customHeight="1" x14ac:dyDescent="0.3">
      <c r="A12" s="842"/>
      <c r="B12" s="843">
        <v>7</v>
      </c>
      <c r="C12" s="848" t="s">
        <v>505</v>
      </c>
      <c r="D12" s="845"/>
      <c r="E12" s="846">
        <v>2191000</v>
      </c>
      <c r="F12" s="846">
        <v>0</v>
      </c>
      <c r="G12" s="846">
        <v>15478144</v>
      </c>
      <c r="H12" s="846">
        <v>0</v>
      </c>
      <c r="I12" s="846">
        <v>7509561</v>
      </c>
      <c r="J12" s="846">
        <v>26153261</v>
      </c>
      <c r="K12" s="846"/>
      <c r="L12" s="846">
        <v>2191000</v>
      </c>
      <c r="M12" s="846">
        <v>7509561</v>
      </c>
      <c r="N12" s="840">
        <v>15478144</v>
      </c>
      <c r="O12" s="847">
        <v>26153261</v>
      </c>
    </row>
    <row r="13" spans="1:15" ht="16.5" customHeight="1" x14ac:dyDescent="0.3">
      <c r="A13" s="842"/>
      <c r="B13" s="843">
        <v>8</v>
      </c>
      <c r="C13" s="848" t="s">
        <v>506</v>
      </c>
      <c r="D13" s="845"/>
      <c r="E13" s="846">
        <v>11420125</v>
      </c>
      <c r="F13" s="846">
        <v>0</v>
      </c>
      <c r="G13" s="846">
        <v>7365339.8200000003</v>
      </c>
      <c r="H13" s="846">
        <v>0</v>
      </c>
      <c r="I13" s="846">
        <v>0</v>
      </c>
      <c r="J13" s="846">
        <v>3684149</v>
      </c>
      <c r="K13" s="846"/>
      <c r="L13" s="846">
        <v>11420125</v>
      </c>
      <c r="M13" s="846">
        <v>0</v>
      </c>
      <c r="N13" s="840">
        <v>7365339.8200000003</v>
      </c>
      <c r="O13" s="847">
        <v>3684149</v>
      </c>
    </row>
    <row r="14" spans="1:15" ht="16.5" customHeight="1" x14ac:dyDescent="0.3">
      <c r="A14" s="849"/>
      <c r="B14" s="843">
        <v>9</v>
      </c>
      <c r="C14" s="848" t="s">
        <v>507</v>
      </c>
      <c r="D14" s="845"/>
      <c r="E14" s="846">
        <v>0</v>
      </c>
      <c r="F14" s="846">
        <v>0</v>
      </c>
      <c r="G14" s="846">
        <v>694067.76</v>
      </c>
      <c r="H14" s="846">
        <v>0</v>
      </c>
      <c r="I14" s="846">
        <v>0</v>
      </c>
      <c r="J14" s="846">
        <v>0</v>
      </c>
      <c r="K14" s="846"/>
      <c r="L14" s="846">
        <v>0</v>
      </c>
      <c r="M14" s="846">
        <v>0</v>
      </c>
      <c r="N14" s="840">
        <v>694067.76</v>
      </c>
      <c r="O14" s="847">
        <v>0</v>
      </c>
    </row>
    <row r="15" spans="1:15" ht="16.5" customHeight="1" x14ac:dyDescent="0.3">
      <c r="A15" s="849"/>
      <c r="B15" s="843">
        <v>10</v>
      </c>
      <c r="C15" s="848" t="s">
        <v>508</v>
      </c>
      <c r="D15" s="845"/>
      <c r="E15" s="846">
        <v>0</v>
      </c>
      <c r="F15" s="846">
        <v>0</v>
      </c>
      <c r="G15" s="846">
        <v>9111276</v>
      </c>
      <c r="H15" s="846">
        <v>574650</v>
      </c>
      <c r="I15" s="846">
        <v>0</v>
      </c>
      <c r="J15" s="846">
        <v>0</v>
      </c>
      <c r="K15" s="846"/>
      <c r="L15" s="846">
        <v>0</v>
      </c>
      <c r="M15" s="846">
        <v>0</v>
      </c>
      <c r="N15" s="840">
        <v>9111276</v>
      </c>
      <c r="O15" s="847">
        <v>574650</v>
      </c>
    </row>
    <row r="16" spans="1:15" ht="16.5" customHeight="1" x14ac:dyDescent="0.3">
      <c r="A16" s="849"/>
      <c r="B16" s="843">
        <v>11</v>
      </c>
      <c r="C16" s="848" t="s">
        <v>509</v>
      </c>
      <c r="D16" s="845"/>
      <c r="E16" s="846">
        <v>0</v>
      </c>
      <c r="F16" s="846">
        <v>0</v>
      </c>
      <c r="G16" s="846">
        <v>485930</v>
      </c>
      <c r="H16" s="846">
        <v>140667</v>
      </c>
      <c r="I16" s="846">
        <v>0</v>
      </c>
      <c r="J16" s="846">
        <v>0</v>
      </c>
      <c r="K16" s="846"/>
      <c r="L16" s="846">
        <v>0</v>
      </c>
      <c r="M16" s="846">
        <v>0</v>
      </c>
      <c r="N16" s="840">
        <v>485930</v>
      </c>
      <c r="O16" s="847">
        <v>140667</v>
      </c>
    </row>
    <row r="17" spans="1:15" ht="16.5" customHeight="1" x14ac:dyDescent="0.3">
      <c r="A17" s="849"/>
      <c r="B17" s="850">
        <v>12</v>
      </c>
      <c r="C17" s="848" t="s">
        <v>553</v>
      </c>
      <c r="D17" s="851"/>
      <c r="E17" s="852">
        <v>0</v>
      </c>
      <c r="F17" s="852">
        <v>0</v>
      </c>
      <c r="G17" s="852">
        <v>0</v>
      </c>
      <c r="H17" s="852"/>
      <c r="I17" s="852">
        <v>0</v>
      </c>
      <c r="J17" s="852">
        <v>306122</v>
      </c>
      <c r="K17" s="852"/>
      <c r="L17" s="852">
        <v>0</v>
      </c>
      <c r="M17" s="852">
        <v>0</v>
      </c>
      <c r="N17" s="840">
        <v>0</v>
      </c>
      <c r="O17" s="847">
        <v>306122</v>
      </c>
    </row>
    <row r="18" spans="1:15" ht="16.5" customHeight="1" thickBot="1" x14ac:dyDescent="0.35">
      <c r="A18" s="849"/>
      <c r="B18" s="853">
        <v>13</v>
      </c>
      <c r="C18" s="854" t="s">
        <v>22</v>
      </c>
      <c r="D18" s="855"/>
      <c r="E18" s="856">
        <v>16250664</v>
      </c>
      <c r="F18" s="856">
        <v>350180335</v>
      </c>
      <c r="G18" s="856">
        <v>342720186.85999995</v>
      </c>
      <c r="H18" s="856">
        <v>32210782.340000004</v>
      </c>
      <c r="I18" s="856">
        <v>7509561</v>
      </c>
      <c r="J18" s="856">
        <v>32784910</v>
      </c>
      <c r="K18" s="856">
        <v>958896</v>
      </c>
      <c r="L18" s="856">
        <v>16250664</v>
      </c>
      <c r="M18" s="856">
        <v>357689896</v>
      </c>
      <c r="N18" s="857">
        <v>341761290.85999995</v>
      </c>
      <c r="O18" s="858">
        <v>64995692.340000004</v>
      </c>
    </row>
    <row r="19" spans="1:15" ht="16.5" customHeight="1" thickBot="1" x14ac:dyDescent="0.35">
      <c r="A19" s="849"/>
      <c r="B19" s="859"/>
      <c r="C19" s="860" t="s">
        <v>574</v>
      </c>
      <c r="D19" s="861"/>
      <c r="E19" s="862"/>
      <c r="F19" s="863"/>
      <c r="G19" s="864">
        <v>61205999.999999993</v>
      </c>
      <c r="H19" s="865"/>
      <c r="I19" s="865"/>
      <c r="J19" s="865"/>
      <c r="K19" s="865"/>
      <c r="L19" s="865"/>
      <c r="M19" s="865"/>
      <c r="N19" s="865"/>
      <c r="O19" s="866"/>
    </row>
    <row r="20" spans="1:15" ht="16.5" customHeight="1" thickBot="1" x14ac:dyDescent="0.35">
      <c r="A20" s="849"/>
      <c r="B20" s="867"/>
      <c r="C20" s="868"/>
      <c r="D20" s="869"/>
      <c r="E20" s="870"/>
      <c r="F20" s="871"/>
      <c r="G20" s="871"/>
      <c r="H20" s="871">
        <v>374930969.19999993</v>
      </c>
      <c r="I20" s="871"/>
      <c r="J20" s="871"/>
      <c r="K20" s="871"/>
      <c r="L20" s="871"/>
      <c r="M20" s="871"/>
      <c r="N20" s="871"/>
      <c r="O20" s="872"/>
    </row>
    <row r="21" spans="1:15" ht="16.5" customHeight="1" x14ac:dyDescent="0.3">
      <c r="A21" s="849"/>
      <c r="B21" s="873" t="s">
        <v>300</v>
      </c>
      <c r="C21" s="874" t="s">
        <v>349</v>
      </c>
      <c r="D21" s="1036" t="s">
        <v>357</v>
      </c>
      <c r="E21" s="1037" t="s">
        <v>358</v>
      </c>
      <c r="F21" s="1038"/>
      <c r="G21" s="1039"/>
      <c r="H21" s="1039"/>
      <c r="I21" s="1039"/>
      <c r="J21" s="1039"/>
      <c r="K21" s="1039"/>
      <c r="L21" s="1039"/>
      <c r="M21" s="1039"/>
      <c r="N21" s="1039"/>
      <c r="O21" s="1040"/>
    </row>
    <row r="22" spans="1:15" ht="27.75" customHeight="1" x14ac:dyDescent="0.3">
      <c r="A22" s="849"/>
      <c r="B22" s="875"/>
      <c r="C22" s="876"/>
      <c r="D22" s="1025"/>
      <c r="E22" s="1031" t="s">
        <v>359</v>
      </c>
      <c r="F22" s="1032"/>
      <c r="G22" s="1033"/>
      <c r="H22" s="1034"/>
      <c r="I22" s="1031" t="s">
        <v>575</v>
      </c>
      <c r="J22" s="1034"/>
      <c r="K22" s="830" t="s">
        <v>519</v>
      </c>
      <c r="L22" s="1031" t="s">
        <v>57</v>
      </c>
      <c r="M22" s="1032"/>
      <c r="N22" s="1033"/>
      <c r="O22" s="1041"/>
    </row>
    <row r="23" spans="1:15" ht="16.5" customHeight="1" x14ac:dyDescent="0.3">
      <c r="A23" s="825"/>
      <c r="B23" s="877"/>
      <c r="C23" s="878"/>
      <c r="D23" s="1026"/>
      <c r="E23" s="830" t="s">
        <v>223</v>
      </c>
      <c r="F23" s="830" t="s">
        <v>223</v>
      </c>
      <c r="G23" s="830" t="s">
        <v>224</v>
      </c>
      <c r="H23" s="830" t="s">
        <v>224</v>
      </c>
      <c r="I23" s="830" t="s">
        <v>224</v>
      </c>
      <c r="J23" s="830" t="s">
        <v>224</v>
      </c>
      <c r="K23" s="830" t="s">
        <v>224</v>
      </c>
      <c r="L23" s="830" t="s">
        <v>223</v>
      </c>
      <c r="M23" s="830" t="s">
        <v>223</v>
      </c>
      <c r="N23" s="830" t="s">
        <v>224</v>
      </c>
      <c r="O23" s="879" t="s">
        <v>224</v>
      </c>
    </row>
    <row r="24" spans="1:15" ht="16.5" customHeight="1" thickBot="1" x14ac:dyDescent="0.35">
      <c r="A24" s="825"/>
      <c r="B24" s="880"/>
      <c r="C24" s="881"/>
      <c r="D24" s="881"/>
      <c r="E24" s="833" t="s">
        <v>571</v>
      </c>
      <c r="F24" s="833" t="s">
        <v>572</v>
      </c>
      <c r="G24" s="833" t="s">
        <v>571</v>
      </c>
      <c r="H24" s="833" t="s">
        <v>572</v>
      </c>
      <c r="I24" s="833" t="s">
        <v>571</v>
      </c>
      <c r="J24" s="833" t="s">
        <v>572</v>
      </c>
      <c r="K24" s="830"/>
      <c r="L24" s="833" t="s">
        <v>571</v>
      </c>
      <c r="M24" s="833" t="s">
        <v>572</v>
      </c>
      <c r="N24" s="882" t="s">
        <v>576</v>
      </c>
      <c r="O24" s="883" t="s">
        <v>577</v>
      </c>
    </row>
    <row r="25" spans="1:15" ht="16.5" customHeight="1" x14ac:dyDescent="0.3">
      <c r="A25" s="825"/>
      <c r="B25" s="884">
        <v>1</v>
      </c>
      <c r="C25" s="837" t="s">
        <v>578</v>
      </c>
      <c r="D25" s="838">
        <v>3.34</v>
      </c>
      <c r="E25" s="885"/>
      <c r="F25" s="885"/>
      <c r="G25" s="885">
        <v>8654253.5454545468</v>
      </c>
      <c r="H25" s="885">
        <v>0</v>
      </c>
      <c r="I25" s="846">
        <v>463958.13636363635</v>
      </c>
      <c r="J25" s="846">
        <v>0</v>
      </c>
      <c r="K25" s="846"/>
      <c r="L25" s="846">
        <v>0</v>
      </c>
      <c r="M25" s="846">
        <v>0</v>
      </c>
      <c r="N25" s="846">
        <v>9118211.6818181835</v>
      </c>
      <c r="O25" s="886">
        <v>0</v>
      </c>
    </row>
    <row r="26" spans="1:15" ht="16.5" customHeight="1" x14ac:dyDescent="0.3">
      <c r="A26" s="825"/>
      <c r="B26" s="887">
        <v>2</v>
      </c>
      <c r="C26" s="844" t="s">
        <v>503</v>
      </c>
      <c r="D26" s="845">
        <v>5.28</v>
      </c>
      <c r="E26" s="885"/>
      <c r="F26" s="885"/>
      <c r="G26" s="885">
        <v>42886119.275301814</v>
      </c>
      <c r="H26" s="885">
        <v>0</v>
      </c>
      <c r="I26" s="846">
        <v>944113.33670836396</v>
      </c>
      <c r="J26" s="846">
        <v>0</v>
      </c>
      <c r="K26" s="846"/>
      <c r="L26" s="846">
        <v>0</v>
      </c>
      <c r="M26" s="846">
        <v>0</v>
      </c>
      <c r="N26" s="846">
        <v>43830232.612010181</v>
      </c>
      <c r="O26" s="886">
        <v>0</v>
      </c>
    </row>
    <row r="27" spans="1:15" ht="16.5" customHeight="1" x14ac:dyDescent="0.3">
      <c r="A27" s="825"/>
      <c r="B27" s="887">
        <v>3</v>
      </c>
      <c r="C27" s="848" t="s">
        <v>504</v>
      </c>
      <c r="D27" s="845">
        <v>5.28</v>
      </c>
      <c r="E27" s="885"/>
      <c r="F27" s="885"/>
      <c r="G27" s="885">
        <v>143587701.01150128</v>
      </c>
      <c r="H27" s="885">
        <v>4157401.4248800008</v>
      </c>
      <c r="I27" s="846">
        <v>4253183.0533371437</v>
      </c>
      <c r="J27" s="846">
        <v>1732692.9491520002</v>
      </c>
      <c r="K27" s="846">
        <v>625967.30880000012</v>
      </c>
      <c r="L27" s="846">
        <v>0</v>
      </c>
      <c r="M27" s="846">
        <v>0</v>
      </c>
      <c r="N27" s="846">
        <v>147214916.75603843</v>
      </c>
      <c r="O27" s="886">
        <v>5890094.374032001</v>
      </c>
    </row>
    <row r="28" spans="1:15" ht="16.5" customHeight="1" x14ac:dyDescent="0.3">
      <c r="A28" s="825"/>
      <c r="B28" s="887">
        <v>7</v>
      </c>
      <c r="C28" s="848" t="s">
        <v>505</v>
      </c>
      <c r="D28" s="845">
        <v>5.28</v>
      </c>
      <c r="E28" s="885"/>
      <c r="F28" s="885"/>
      <c r="G28" s="885">
        <v>6774898.4277818184</v>
      </c>
      <c r="H28" s="885">
        <v>0</v>
      </c>
      <c r="I28" s="846">
        <v>478316.27585454541</v>
      </c>
      <c r="J28" s="846">
        <v>690446.09039999999</v>
      </c>
      <c r="K28" s="846"/>
      <c r="L28" s="846">
        <v>0</v>
      </c>
      <c r="M28" s="846">
        <v>0</v>
      </c>
      <c r="N28" s="846">
        <v>7253214.7036363641</v>
      </c>
      <c r="O28" s="886">
        <v>690446.09039999999</v>
      </c>
    </row>
    <row r="29" spans="1:15" ht="16.5" customHeight="1" x14ac:dyDescent="0.3">
      <c r="A29" s="825"/>
      <c r="B29" s="887">
        <v>8</v>
      </c>
      <c r="C29" s="848" t="s">
        <v>506</v>
      </c>
      <c r="D29" s="845">
        <v>5.28</v>
      </c>
      <c r="E29" s="885"/>
      <c r="F29" s="885"/>
      <c r="G29" s="885">
        <v>2435644.883336104</v>
      </c>
      <c r="H29" s="885">
        <v>0</v>
      </c>
      <c r="I29" s="846">
        <v>249853.04758566234</v>
      </c>
      <c r="J29" s="846">
        <v>97261.533599999995</v>
      </c>
      <c r="K29" s="846"/>
      <c r="L29" s="846">
        <v>0</v>
      </c>
      <c r="M29" s="846">
        <v>0</v>
      </c>
      <c r="N29" s="846">
        <v>2685497.9309217664</v>
      </c>
      <c r="O29" s="886">
        <v>97261.533599999995</v>
      </c>
    </row>
    <row r="30" spans="1:15" ht="16.5" customHeight="1" x14ac:dyDescent="0.3">
      <c r="A30" s="825"/>
      <c r="B30" s="887">
        <v>9</v>
      </c>
      <c r="C30" s="848" t="s">
        <v>507</v>
      </c>
      <c r="D30" s="845">
        <v>5.28</v>
      </c>
      <c r="E30" s="885"/>
      <c r="F30" s="885"/>
      <c r="G30" s="885">
        <v>344063.18770036363</v>
      </c>
      <c r="H30" s="885">
        <v>0</v>
      </c>
      <c r="I30" s="846">
        <v>23626.395508363636</v>
      </c>
      <c r="J30" s="846">
        <v>0</v>
      </c>
      <c r="K30" s="846"/>
      <c r="L30" s="846">
        <v>0</v>
      </c>
      <c r="M30" s="846">
        <v>0</v>
      </c>
      <c r="N30" s="846">
        <v>367689.58320872724</v>
      </c>
      <c r="O30" s="886">
        <v>0</v>
      </c>
    </row>
    <row r="31" spans="1:15" ht="16.5" customHeight="1" x14ac:dyDescent="0.3">
      <c r="A31" s="825"/>
      <c r="B31" s="887">
        <v>10</v>
      </c>
      <c r="C31" s="848" t="s">
        <v>508</v>
      </c>
      <c r="D31" s="845">
        <v>5.28</v>
      </c>
      <c r="E31" s="885"/>
      <c r="F31" s="885"/>
      <c r="G31" s="885">
        <v>2167998.2906181817</v>
      </c>
      <c r="H31" s="885">
        <v>75853.8</v>
      </c>
      <c r="I31" s="846">
        <v>255167.1997090909</v>
      </c>
      <c r="J31" s="846">
        <v>30341.52</v>
      </c>
      <c r="K31" s="846"/>
      <c r="L31" s="846">
        <v>0</v>
      </c>
      <c r="M31" s="846">
        <v>0</v>
      </c>
      <c r="N31" s="846">
        <v>2423165.4903272726</v>
      </c>
      <c r="O31" s="886">
        <v>106195.32</v>
      </c>
    </row>
    <row r="32" spans="1:15" ht="16.5" customHeight="1" x14ac:dyDescent="0.3">
      <c r="A32" s="825"/>
      <c r="B32" s="887">
        <v>11</v>
      </c>
      <c r="C32" s="848" t="s">
        <v>509</v>
      </c>
      <c r="D32" s="845">
        <v>6.33</v>
      </c>
      <c r="E32" s="885"/>
      <c r="F32" s="885"/>
      <c r="G32" s="885">
        <v>112072.96649999998</v>
      </c>
      <c r="H32" s="885">
        <v>22260.552749999995</v>
      </c>
      <c r="I32" s="846">
        <v>30759.368999999999</v>
      </c>
      <c r="J32" s="846">
        <v>8904.2210999999988</v>
      </c>
      <c r="K32" s="846"/>
      <c r="L32" s="846">
        <v>0</v>
      </c>
      <c r="M32" s="846">
        <v>0</v>
      </c>
      <c r="N32" s="846">
        <v>142832.33549999999</v>
      </c>
      <c r="O32" s="886">
        <v>31164.773849999994</v>
      </c>
    </row>
    <row r="33" spans="1:15" ht="16.5" customHeight="1" x14ac:dyDescent="0.3">
      <c r="A33" s="825"/>
      <c r="B33" s="887">
        <v>12</v>
      </c>
      <c r="C33" s="848" t="s">
        <v>553</v>
      </c>
      <c r="D33" s="845">
        <v>9.5</v>
      </c>
      <c r="E33" s="846"/>
      <c r="F33" s="846"/>
      <c r="G33" s="846">
        <v>0</v>
      </c>
      <c r="H33" s="846">
        <v>0</v>
      </c>
      <c r="I33" s="846">
        <v>0</v>
      </c>
      <c r="J33" s="846">
        <v>14540.795</v>
      </c>
      <c r="K33" s="846"/>
      <c r="L33" s="846">
        <v>0</v>
      </c>
      <c r="M33" s="846">
        <v>0</v>
      </c>
      <c r="N33" s="846">
        <v>0</v>
      </c>
      <c r="O33" s="886">
        <v>14540.795</v>
      </c>
    </row>
    <row r="34" spans="1:15" ht="16.5" customHeight="1" thickBot="1" x14ac:dyDescent="0.35">
      <c r="A34" s="825"/>
      <c r="B34" s="888">
        <v>13</v>
      </c>
      <c r="C34" s="889" t="s">
        <v>22</v>
      </c>
      <c r="D34" s="890"/>
      <c r="E34" s="891"/>
      <c r="F34" s="891"/>
      <c r="G34" s="891">
        <v>206962751.5881941</v>
      </c>
      <c r="H34" s="891">
        <v>4255515.7776300004</v>
      </c>
      <c r="I34" s="891">
        <v>6698976.8140668068</v>
      </c>
      <c r="J34" s="892">
        <v>2574187.1092520007</v>
      </c>
      <c r="K34" s="892">
        <v>625967.30880000012</v>
      </c>
      <c r="L34" s="892">
        <v>0</v>
      </c>
      <c r="M34" s="892">
        <v>0</v>
      </c>
      <c r="N34" s="892">
        <v>213035761.09346095</v>
      </c>
      <c r="O34" s="892">
        <v>6829702.8868820006</v>
      </c>
    </row>
    <row r="35" spans="1:15" ht="16.5" customHeight="1" thickBot="1" x14ac:dyDescent="0.35">
      <c r="A35" s="825"/>
      <c r="B35" s="893"/>
      <c r="C35" s="894" t="s">
        <v>579</v>
      </c>
      <c r="D35" s="1042" t="s">
        <v>580</v>
      </c>
      <c r="E35" s="1018"/>
      <c r="F35" s="1018"/>
      <c r="G35" s="1018"/>
      <c r="H35" s="1018"/>
      <c r="I35" s="895">
        <v>1034927.2727272724</v>
      </c>
      <c r="J35" s="825"/>
      <c r="K35" s="825"/>
      <c r="L35" s="895"/>
      <c r="M35" s="895"/>
      <c r="N35" s="895"/>
      <c r="O35" s="896"/>
    </row>
    <row r="36" spans="1:15" ht="16.5" customHeight="1" thickBot="1" x14ac:dyDescent="0.35">
      <c r="A36" s="825"/>
      <c r="B36" s="897"/>
      <c r="C36" s="898" t="s">
        <v>497</v>
      </c>
      <c r="D36" s="899"/>
      <c r="E36" s="900"/>
      <c r="F36" s="901"/>
      <c r="G36" s="902"/>
      <c r="H36" s="902"/>
      <c r="I36" s="901">
        <v>8238236.6505915346</v>
      </c>
      <c r="J36" s="903"/>
      <c r="K36" s="903"/>
      <c r="L36" s="903"/>
      <c r="M36" s="903"/>
      <c r="N36" s="903"/>
      <c r="O36" s="904"/>
    </row>
    <row r="37" spans="1:15" ht="16.5" customHeight="1" x14ac:dyDescent="0.3">
      <c r="A37" s="825"/>
      <c r="B37" s="825"/>
      <c r="C37" s="825" t="s">
        <v>581</v>
      </c>
      <c r="D37" s="825"/>
      <c r="E37" s="825"/>
      <c r="F37" s="825"/>
      <c r="G37" s="825"/>
      <c r="H37" s="849">
        <v>211218267.3658241</v>
      </c>
      <c r="I37" s="825"/>
      <c r="J37" s="825"/>
      <c r="K37" s="825"/>
      <c r="L37" s="825"/>
      <c r="M37" s="825"/>
      <c r="N37" s="825"/>
      <c r="O37" s="825"/>
    </row>
    <row r="38" spans="1:15" ht="16.5" customHeight="1" x14ac:dyDescent="0.3">
      <c r="A38" s="825"/>
      <c r="B38" s="825"/>
      <c r="C38" s="825"/>
      <c r="D38" s="825"/>
      <c r="E38" s="825"/>
      <c r="F38" s="825"/>
      <c r="G38" s="825"/>
      <c r="H38" s="825"/>
      <c r="I38" s="849">
        <v>5664049.5413395343</v>
      </c>
      <c r="J38" s="849">
        <v>2574187.1092520007</v>
      </c>
      <c r="K38" s="849"/>
      <c r="L38" s="825"/>
      <c r="M38" s="825"/>
      <c r="N38" s="825"/>
      <c r="O38" s="825"/>
    </row>
    <row r="39" spans="1:15" ht="16.5" customHeight="1" x14ac:dyDescent="0.3">
      <c r="A39" s="825"/>
      <c r="B39" s="825"/>
      <c r="C39" s="825"/>
      <c r="D39" s="825"/>
      <c r="E39" s="825"/>
      <c r="F39" s="825"/>
      <c r="G39" s="825"/>
      <c r="H39" s="825"/>
      <c r="I39" s="849"/>
      <c r="J39" s="849">
        <v>8238236.6505915355</v>
      </c>
      <c r="K39" s="849"/>
      <c r="L39" s="825"/>
      <c r="M39" s="825"/>
      <c r="N39" s="825"/>
      <c r="O39" s="825"/>
    </row>
    <row r="40" spans="1:15" ht="16.5" customHeight="1" thickBot="1" x14ac:dyDescent="0.35">
      <c r="A40" s="825"/>
      <c r="B40" s="825"/>
      <c r="C40" s="825"/>
      <c r="D40" s="825"/>
      <c r="E40" s="825"/>
      <c r="F40" s="825"/>
      <c r="G40" s="825"/>
      <c r="H40" s="825"/>
      <c r="I40" s="825"/>
      <c r="J40" s="825"/>
      <c r="K40" s="825"/>
      <c r="L40" s="825"/>
      <c r="M40" s="825"/>
      <c r="N40" s="825"/>
      <c r="O40" s="825"/>
    </row>
    <row r="41" spans="1:15" ht="18" customHeight="1" x14ac:dyDescent="0.3">
      <c r="A41" s="825"/>
      <c r="B41" s="1043" t="s">
        <v>300</v>
      </c>
      <c r="C41" s="1036" t="s">
        <v>349</v>
      </c>
      <c r="D41" s="1036"/>
      <c r="E41" s="1046" t="s">
        <v>360</v>
      </c>
      <c r="F41" s="1047"/>
      <c r="G41" s="1039"/>
      <c r="H41" s="1039"/>
      <c r="I41" s="1039"/>
      <c r="J41" s="1039"/>
      <c r="K41" s="1039"/>
      <c r="L41" s="1039"/>
      <c r="M41" s="1039"/>
      <c r="N41" s="1039"/>
      <c r="O41" s="1040"/>
    </row>
    <row r="42" spans="1:15" ht="18" customHeight="1" x14ac:dyDescent="0.3">
      <c r="A42" s="825"/>
      <c r="B42" s="1044"/>
      <c r="C42" s="1025"/>
      <c r="D42" s="1025"/>
      <c r="E42" s="1048" t="s">
        <v>361</v>
      </c>
      <c r="F42" s="1049"/>
      <c r="G42" s="1034"/>
      <c r="H42" s="828"/>
      <c r="I42" s="1031"/>
      <c r="J42" s="1034"/>
      <c r="K42" s="829"/>
      <c r="L42" s="1031" t="s">
        <v>362</v>
      </c>
      <c r="M42" s="1032"/>
      <c r="N42" s="1033"/>
      <c r="O42" s="1041"/>
    </row>
    <row r="43" spans="1:15" ht="16.5" customHeight="1" x14ac:dyDescent="0.3">
      <c r="A43" s="825"/>
      <c r="B43" s="1045"/>
      <c r="C43" s="1026"/>
      <c r="D43" s="1026"/>
      <c r="E43" s="830" t="s">
        <v>223</v>
      </c>
      <c r="F43" s="830" t="s">
        <v>223</v>
      </c>
      <c r="G43" s="830" t="s">
        <v>224</v>
      </c>
      <c r="H43" s="830" t="s">
        <v>224</v>
      </c>
      <c r="I43" s="830"/>
      <c r="J43" s="830"/>
      <c r="K43" s="830"/>
      <c r="L43" s="830" t="s">
        <v>223</v>
      </c>
      <c r="M43" s="830" t="s">
        <v>223</v>
      </c>
      <c r="N43" s="830" t="s">
        <v>224</v>
      </c>
      <c r="O43" s="879" t="s">
        <v>224</v>
      </c>
    </row>
    <row r="44" spans="1:15" ht="16.5" customHeight="1" thickBot="1" x14ac:dyDescent="0.35">
      <c r="A44" s="825"/>
      <c r="B44" s="880">
        <v>1</v>
      </c>
      <c r="C44" s="881">
        <v>2</v>
      </c>
      <c r="D44" s="881">
        <v>3</v>
      </c>
      <c r="E44" s="833" t="s">
        <v>571</v>
      </c>
      <c r="F44" s="833" t="s">
        <v>572</v>
      </c>
      <c r="G44" s="881" t="s">
        <v>576</v>
      </c>
      <c r="H44" s="881" t="s">
        <v>577</v>
      </c>
      <c r="I44" s="905"/>
      <c r="J44" s="906"/>
      <c r="K44" s="907"/>
      <c r="L44" s="833" t="s">
        <v>571</v>
      </c>
      <c r="M44" s="833" t="s">
        <v>572</v>
      </c>
      <c r="N44" s="881" t="s">
        <v>576</v>
      </c>
      <c r="O44" s="908" t="s">
        <v>577</v>
      </c>
    </row>
    <row r="45" spans="1:15" ht="16.5" customHeight="1" x14ac:dyDescent="0.3">
      <c r="A45" s="825"/>
      <c r="B45" s="909">
        <v>1</v>
      </c>
      <c r="C45" s="910" t="s">
        <v>500</v>
      </c>
      <c r="D45" s="911"/>
      <c r="E45" s="912">
        <v>0</v>
      </c>
      <c r="F45" s="912">
        <v>0</v>
      </c>
      <c r="G45" s="912">
        <v>10240746.454545453</v>
      </c>
      <c r="H45" s="912">
        <v>0</v>
      </c>
      <c r="I45" s="912"/>
      <c r="J45" s="912"/>
      <c r="K45" s="912"/>
      <c r="L45" s="912">
        <v>0</v>
      </c>
      <c r="M45" s="912">
        <v>0</v>
      </c>
      <c r="N45" s="913">
        <v>9776788.3181818165</v>
      </c>
      <c r="O45" s="913">
        <v>0</v>
      </c>
    </row>
    <row r="46" spans="1:15" ht="16.5" customHeight="1" x14ac:dyDescent="0.3">
      <c r="A46" s="825"/>
      <c r="B46" s="887">
        <v>2</v>
      </c>
      <c r="C46" s="844" t="s">
        <v>503</v>
      </c>
      <c r="D46" s="845"/>
      <c r="E46" s="912">
        <v>0</v>
      </c>
      <c r="F46" s="912">
        <v>183866335</v>
      </c>
      <c r="G46" s="912">
        <v>23308391.804698184</v>
      </c>
      <c r="H46" s="912">
        <v>0</v>
      </c>
      <c r="I46" s="846"/>
      <c r="J46" s="846"/>
      <c r="K46" s="912"/>
      <c r="L46" s="912">
        <v>0</v>
      </c>
      <c r="M46" s="912">
        <v>183866335</v>
      </c>
      <c r="N46" s="886">
        <v>22364278.467989817</v>
      </c>
      <c r="O46" s="913">
        <v>0</v>
      </c>
    </row>
    <row r="47" spans="1:15" ht="16.5" customHeight="1" x14ac:dyDescent="0.3">
      <c r="A47" s="825"/>
      <c r="B47" s="887">
        <v>3</v>
      </c>
      <c r="C47" s="848" t="s">
        <v>504</v>
      </c>
      <c r="D47" s="845"/>
      <c r="E47" s="912">
        <v>2639539</v>
      </c>
      <c r="F47" s="912">
        <v>166314000</v>
      </c>
      <c r="G47" s="912">
        <v>80908217.188498706</v>
      </c>
      <c r="H47" s="912">
        <v>27338063.915120002</v>
      </c>
      <c r="I47" s="846"/>
      <c r="J47" s="846"/>
      <c r="K47" s="912"/>
      <c r="L47" s="912">
        <v>2639539</v>
      </c>
      <c r="M47" s="912">
        <v>166314000</v>
      </c>
      <c r="N47" s="886">
        <v>76322105.443961561</v>
      </c>
      <c r="O47" s="913">
        <v>28246748.965968002</v>
      </c>
    </row>
    <row r="48" spans="1:15" ht="16.5" customHeight="1" x14ac:dyDescent="0.3">
      <c r="A48" s="825"/>
      <c r="B48" s="887">
        <v>7</v>
      </c>
      <c r="C48" s="848" t="s">
        <v>505</v>
      </c>
      <c r="D48" s="845"/>
      <c r="E48" s="912">
        <v>2191000</v>
      </c>
      <c r="F48" s="912">
        <v>0</v>
      </c>
      <c r="G48" s="912">
        <v>8703245.5722181816</v>
      </c>
      <c r="H48" s="912">
        <v>0</v>
      </c>
      <c r="I48" s="846"/>
      <c r="J48" s="846"/>
      <c r="K48" s="912"/>
      <c r="L48" s="912">
        <v>2191000</v>
      </c>
      <c r="M48" s="912">
        <v>7509561</v>
      </c>
      <c r="N48" s="886">
        <v>8224929.2963636359</v>
      </c>
      <c r="O48" s="913">
        <v>25462814.909600001</v>
      </c>
    </row>
    <row r="49" spans="1:15" ht="16.5" customHeight="1" x14ac:dyDescent="0.3">
      <c r="A49" s="825"/>
      <c r="B49" s="887">
        <v>8</v>
      </c>
      <c r="C49" s="848" t="s">
        <v>506</v>
      </c>
      <c r="D49" s="845"/>
      <c r="E49" s="912">
        <v>11420125</v>
      </c>
      <c r="F49" s="912">
        <v>0</v>
      </c>
      <c r="G49" s="912">
        <v>4929694.9366638958</v>
      </c>
      <c r="H49" s="912">
        <v>0</v>
      </c>
      <c r="I49" s="846"/>
      <c r="J49" s="846"/>
      <c r="K49" s="912"/>
      <c r="L49" s="912">
        <v>11420125</v>
      </c>
      <c r="M49" s="912">
        <v>0</v>
      </c>
      <c r="N49" s="886">
        <v>4679841.8890782334</v>
      </c>
      <c r="O49" s="913">
        <v>3586887.4663999998</v>
      </c>
    </row>
    <row r="50" spans="1:15" ht="16.5" customHeight="1" x14ac:dyDescent="0.3">
      <c r="A50" s="825"/>
      <c r="B50" s="887">
        <v>9</v>
      </c>
      <c r="C50" s="848" t="s">
        <v>507</v>
      </c>
      <c r="D50" s="845"/>
      <c r="E50" s="912">
        <v>0</v>
      </c>
      <c r="F50" s="912">
        <v>0</v>
      </c>
      <c r="G50" s="912">
        <v>350004.57229963638</v>
      </c>
      <c r="H50" s="912">
        <v>0</v>
      </c>
      <c r="I50" s="846"/>
      <c r="J50" s="846"/>
      <c r="K50" s="912"/>
      <c r="L50" s="912">
        <v>0</v>
      </c>
      <c r="M50" s="912">
        <v>0</v>
      </c>
      <c r="N50" s="886">
        <v>326378.17679127277</v>
      </c>
      <c r="O50" s="913">
        <v>0</v>
      </c>
    </row>
    <row r="51" spans="1:15" ht="16.5" customHeight="1" x14ac:dyDescent="0.3">
      <c r="A51" s="825"/>
      <c r="B51" s="887">
        <v>10</v>
      </c>
      <c r="C51" s="848" t="s">
        <v>508</v>
      </c>
      <c r="D51" s="845"/>
      <c r="E51" s="912">
        <v>0</v>
      </c>
      <c r="F51" s="912">
        <v>0</v>
      </c>
      <c r="G51" s="912">
        <v>6943277.7093818188</v>
      </c>
      <c r="H51" s="912">
        <v>498796.2</v>
      </c>
      <c r="I51" s="846"/>
      <c r="J51" s="846"/>
      <c r="K51" s="912"/>
      <c r="L51" s="912">
        <v>0</v>
      </c>
      <c r="M51" s="912">
        <v>0</v>
      </c>
      <c r="N51" s="886">
        <v>6688110.5096727274</v>
      </c>
      <c r="O51" s="913">
        <v>468454.68</v>
      </c>
    </row>
    <row r="52" spans="1:15" ht="16.5" customHeight="1" x14ac:dyDescent="0.3">
      <c r="A52" s="825"/>
      <c r="B52" s="887">
        <v>11</v>
      </c>
      <c r="C52" s="848" t="s">
        <v>509</v>
      </c>
      <c r="D52" s="845"/>
      <c r="E52" s="912">
        <v>0</v>
      </c>
      <c r="F52" s="912">
        <v>0</v>
      </c>
      <c r="G52" s="912">
        <v>373857.03350000002</v>
      </c>
      <c r="H52" s="912">
        <v>118406.44725</v>
      </c>
      <c r="I52" s="846"/>
      <c r="J52" s="846"/>
      <c r="K52" s="912"/>
      <c r="L52" s="912">
        <v>0</v>
      </c>
      <c r="M52" s="912">
        <v>0</v>
      </c>
      <c r="N52" s="886">
        <v>343097.66450000001</v>
      </c>
      <c r="O52" s="913">
        <v>109502.22615</v>
      </c>
    </row>
    <row r="53" spans="1:15" ht="16.5" customHeight="1" x14ac:dyDescent="0.3">
      <c r="A53" s="825"/>
      <c r="B53" s="887">
        <v>12</v>
      </c>
      <c r="C53" s="848" t="s">
        <v>553</v>
      </c>
      <c r="D53" s="845"/>
      <c r="E53" s="912">
        <v>0</v>
      </c>
      <c r="F53" s="912">
        <v>0</v>
      </c>
      <c r="G53" s="912">
        <v>0</v>
      </c>
      <c r="H53" s="912">
        <v>0</v>
      </c>
      <c r="I53" s="846"/>
      <c r="J53" s="846"/>
      <c r="K53" s="912"/>
      <c r="L53" s="912">
        <v>0</v>
      </c>
      <c r="M53" s="912">
        <v>0</v>
      </c>
      <c r="N53" s="886">
        <v>0</v>
      </c>
      <c r="O53" s="913">
        <v>291581.20500000002</v>
      </c>
    </row>
    <row r="54" spans="1:15" ht="16.5" customHeight="1" thickBot="1" x14ac:dyDescent="0.35">
      <c r="A54" s="825"/>
      <c r="B54" s="914">
        <v>13</v>
      </c>
      <c r="C54" s="915" t="s">
        <v>22</v>
      </c>
      <c r="D54" s="916"/>
      <c r="E54" s="917">
        <v>16250664</v>
      </c>
      <c r="F54" s="917">
        <v>350180335</v>
      </c>
      <c r="G54" s="917">
        <v>135757435.27180585</v>
      </c>
      <c r="H54" s="917">
        <v>27955266.562370002</v>
      </c>
      <c r="I54" s="917">
        <v>0</v>
      </c>
      <c r="J54" s="917">
        <v>0</v>
      </c>
      <c r="K54" s="917"/>
      <c r="L54" s="917">
        <v>16250664</v>
      </c>
      <c r="M54" s="917">
        <v>357689896</v>
      </c>
      <c r="N54" s="917">
        <v>128725529.76653905</v>
      </c>
      <c r="O54" s="917">
        <v>58165989.453117996</v>
      </c>
    </row>
    <row r="55" spans="1:15" ht="16.5" customHeight="1" x14ac:dyDescent="0.3">
      <c r="A55" s="825"/>
      <c r="B55" s="918"/>
      <c r="C55" s="825"/>
      <c r="D55" s="825"/>
      <c r="E55" s="825"/>
      <c r="F55" s="825"/>
      <c r="G55" s="919"/>
      <c r="H55" s="920"/>
      <c r="I55" s="919"/>
      <c r="J55" s="825"/>
      <c r="K55" s="825"/>
      <c r="L55" s="825"/>
      <c r="M55" s="825"/>
      <c r="N55" s="825"/>
      <c r="O55" s="921"/>
    </row>
    <row r="56" spans="1:15" ht="16.5" customHeight="1" x14ac:dyDescent="0.3">
      <c r="A56" s="825"/>
      <c r="B56" s="825"/>
      <c r="C56" s="825"/>
      <c r="D56" s="825"/>
      <c r="E56" s="825"/>
      <c r="F56" s="825"/>
      <c r="G56" s="920"/>
      <c r="H56" s="920"/>
      <c r="I56" s="919"/>
      <c r="J56" s="825"/>
      <c r="K56" s="825"/>
      <c r="L56" s="825"/>
      <c r="M56" s="825"/>
      <c r="N56" s="825"/>
      <c r="O56" s="825"/>
    </row>
    <row r="57" spans="1:15" ht="16.5" customHeight="1" x14ac:dyDescent="0.3">
      <c r="A57" s="825"/>
      <c r="B57" s="825"/>
      <c r="C57" s="825"/>
      <c r="D57" s="825"/>
      <c r="E57" s="825"/>
      <c r="F57" s="825"/>
      <c r="G57" s="919"/>
      <c r="H57" s="920"/>
      <c r="I57" s="919"/>
      <c r="J57" s="825"/>
      <c r="K57" s="825"/>
      <c r="L57" s="825"/>
      <c r="M57" s="825"/>
      <c r="N57" s="825"/>
      <c r="O57" s="825"/>
    </row>
    <row r="58" spans="1:15" ht="16.5" customHeight="1" x14ac:dyDescent="0.3">
      <c r="A58" s="825"/>
      <c r="B58" s="825"/>
      <c r="C58" s="825"/>
      <c r="D58" s="825"/>
      <c r="E58" s="825"/>
      <c r="F58" s="825"/>
      <c r="G58" s="919"/>
      <c r="H58" s="919"/>
      <c r="I58" s="919"/>
      <c r="J58" s="825"/>
      <c r="K58" s="825"/>
      <c r="L58" s="825"/>
      <c r="M58" s="825"/>
      <c r="N58" s="825"/>
      <c r="O58" s="825"/>
    </row>
    <row r="59" spans="1:15" ht="16.5" customHeight="1" x14ac:dyDescent="0.3">
      <c r="A59" s="825"/>
      <c r="B59" s="825"/>
      <c r="C59" s="825"/>
      <c r="D59" s="825"/>
      <c r="E59" s="825"/>
      <c r="F59" s="825"/>
      <c r="G59" s="919"/>
      <c r="H59" s="919"/>
      <c r="I59" s="919"/>
      <c r="J59" s="825"/>
      <c r="K59" s="825"/>
      <c r="L59" s="825"/>
      <c r="M59" s="825"/>
      <c r="N59" s="825"/>
      <c r="O59" s="825"/>
    </row>
    <row r="60" spans="1:15" ht="16.5" customHeight="1" x14ac:dyDescent="0.3">
      <c r="A60" s="825"/>
      <c r="B60" s="922"/>
      <c r="C60" s="923"/>
      <c r="D60" s="924"/>
      <c r="E60" s="825"/>
      <c r="F60" s="825"/>
      <c r="G60" s="919"/>
      <c r="H60" s="919"/>
      <c r="I60" s="919"/>
      <c r="J60" s="825"/>
      <c r="K60" s="825"/>
      <c r="L60" s="825"/>
      <c r="M60" s="825"/>
      <c r="N60" s="825"/>
      <c r="O60" s="925"/>
    </row>
    <row r="61" spans="1:15" ht="16.5" customHeight="1" x14ac:dyDescent="0.3">
      <c r="A61" s="825"/>
      <c r="B61" s="922"/>
      <c r="C61" s="923"/>
      <c r="D61" s="924"/>
      <c r="E61" s="825"/>
      <c r="F61" s="825"/>
      <c r="G61" s="919"/>
      <c r="H61" s="919"/>
      <c r="I61" s="919"/>
      <c r="J61" s="825"/>
      <c r="K61" s="825"/>
      <c r="L61" s="825"/>
      <c r="M61" s="825"/>
      <c r="N61" s="825"/>
      <c r="O61" s="925"/>
    </row>
    <row r="62" spans="1:15" ht="16.5" customHeight="1" x14ac:dyDescent="0.3">
      <c r="A62" s="825"/>
      <c r="B62" s="825"/>
      <c r="C62" s="825"/>
      <c r="D62" s="825"/>
      <c r="E62" s="825"/>
      <c r="F62" s="825"/>
      <c r="G62" s="825"/>
      <c r="H62" s="825"/>
      <c r="I62" s="825"/>
      <c r="J62" s="825"/>
      <c r="K62" s="825"/>
      <c r="L62" s="825"/>
      <c r="M62" s="825"/>
      <c r="N62" s="825"/>
      <c r="O62" s="825"/>
    </row>
    <row r="63" spans="1:15" ht="16.5" customHeight="1" x14ac:dyDescent="0.3">
      <c r="A63" s="825"/>
      <c r="B63" s="825"/>
      <c r="C63" s="825"/>
      <c r="D63" s="825"/>
      <c r="E63" s="825"/>
      <c r="F63" s="825"/>
      <c r="G63" s="825"/>
      <c r="H63" s="825"/>
      <c r="I63" s="825"/>
      <c r="J63" s="825"/>
      <c r="K63" s="825"/>
      <c r="L63" s="825"/>
      <c r="M63" s="825"/>
      <c r="N63" s="825"/>
      <c r="O63" s="825"/>
    </row>
    <row r="64" spans="1:15" ht="16.5" customHeight="1" x14ac:dyDescent="0.3">
      <c r="A64" s="825"/>
      <c r="B64" s="825"/>
      <c r="C64" s="825"/>
      <c r="D64" s="825"/>
      <c r="E64" s="825"/>
      <c r="F64" s="825"/>
      <c r="G64" s="825"/>
      <c r="H64" s="825"/>
      <c r="I64" s="825"/>
      <c r="J64" s="825"/>
      <c r="K64" s="825"/>
      <c r="L64" s="825"/>
      <c r="M64" s="825"/>
      <c r="N64" s="825"/>
      <c r="O64" s="825"/>
    </row>
    <row r="65" spans="1:15" ht="16.5" customHeight="1" x14ac:dyDescent="0.3">
      <c r="A65" s="825"/>
      <c r="B65" s="825"/>
      <c r="C65" s="825"/>
      <c r="D65" s="825"/>
      <c r="E65" s="825"/>
      <c r="F65" s="825"/>
      <c r="G65" s="825"/>
      <c r="H65" s="825"/>
      <c r="I65" s="825"/>
      <c r="J65" s="825"/>
      <c r="K65" s="825"/>
      <c r="L65" s="825"/>
      <c r="M65" s="825"/>
      <c r="N65" s="825"/>
      <c r="O65" s="825"/>
    </row>
    <row r="66" spans="1:15" ht="16.5" customHeight="1" x14ac:dyDescent="0.3">
      <c r="A66" s="825"/>
      <c r="B66" s="825"/>
      <c r="C66" s="825"/>
      <c r="D66" s="825"/>
      <c r="E66" s="825"/>
      <c r="F66" s="825"/>
      <c r="G66" s="825"/>
      <c r="H66" s="825"/>
      <c r="I66" s="825"/>
      <c r="J66" s="825"/>
      <c r="K66" s="825"/>
      <c r="L66" s="825"/>
      <c r="M66" s="825"/>
      <c r="N66" s="825"/>
      <c r="O66" s="825"/>
    </row>
    <row r="67" spans="1:15" ht="16.5" customHeight="1" x14ac:dyDescent="0.3">
      <c r="A67" s="825"/>
      <c r="B67" s="825"/>
      <c r="C67" s="825"/>
      <c r="D67" s="825"/>
      <c r="E67" s="825"/>
      <c r="F67" s="825"/>
      <c r="G67" s="825"/>
      <c r="H67" s="825"/>
      <c r="I67" s="825"/>
      <c r="J67" s="825"/>
      <c r="K67" s="825"/>
      <c r="L67" s="825"/>
      <c r="M67" s="825"/>
      <c r="N67" s="825"/>
      <c r="O67" s="825"/>
    </row>
    <row r="68" spans="1:15" ht="16.5" customHeight="1" x14ac:dyDescent="0.3">
      <c r="A68" s="825"/>
      <c r="B68" s="825"/>
      <c r="C68" s="825"/>
      <c r="D68" s="825"/>
      <c r="E68" s="825"/>
      <c r="F68" s="825"/>
      <c r="G68" s="825"/>
      <c r="H68" s="825"/>
      <c r="I68" s="825"/>
      <c r="J68" s="825"/>
      <c r="K68" s="825"/>
      <c r="L68" s="825"/>
      <c r="M68" s="825"/>
      <c r="N68" s="825"/>
      <c r="O68" s="825"/>
    </row>
    <row r="69" spans="1:15" ht="16.5" customHeight="1" x14ac:dyDescent="0.3">
      <c r="A69" s="825"/>
      <c r="B69" s="825"/>
      <c r="C69" s="825"/>
      <c r="D69" s="825"/>
      <c r="E69" s="825"/>
      <c r="F69" s="825"/>
      <c r="G69" s="825"/>
      <c r="H69" s="825"/>
      <c r="I69" s="825"/>
      <c r="J69" s="825"/>
      <c r="K69" s="825"/>
      <c r="L69" s="825"/>
      <c r="M69" s="825"/>
      <c r="N69" s="825"/>
      <c r="O69" s="825"/>
    </row>
    <row r="70" spans="1:15" ht="16.5" customHeight="1" x14ac:dyDescent="0.3">
      <c r="A70" s="825"/>
      <c r="B70" s="825"/>
      <c r="C70" s="825"/>
      <c r="D70" s="825"/>
      <c r="E70" s="825"/>
      <c r="F70" s="825"/>
      <c r="G70" s="825"/>
      <c r="H70" s="825"/>
      <c r="I70" s="825"/>
      <c r="J70" s="825"/>
      <c r="K70" s="825"/>
      <c r="L70" s="825"/>
      <c r="M70" s="825"/>
      <c r="N70" s="825"/>
      <c r="O70" s="825"/>
    </row>
    <row r="71" spans="1:15" ht="16.5" customHeight="1" x14ac:dyDescent="0.3">
      <c r="A71" s="825"/>
      <c r="B71" s="825"/>
      <c r="C71" s="825"/>
      <c r="D71" s="825"/>
      <c r="E71" s="825"/>
      <c r="F71" s="825"/>
      <c r="G71" s="825"/>
      <c r="H71" s="825"/>
      <c r="I71" s="825"/>
      <c r="J71" s="825"/>
      <c r="K71" s="825"/>
      <c r="L71" s="825"/>
      <c r="M71" s="825"/>
      <c r="N71" s="825"/>
      <c r="O71" s="825"/>
    </row>
    <row r="72" spans="1:15" ht="16.5" customHeight="1" x14ac:dyDescent="0.3">
      <c r="A72" s="825"/>
      <c r="B72" s="825"/>
      <c r="C72" s="825"/>
      <c r="D72" s="825"/>
      <c r="E72" s="825"/>
      <c r="F72" s="825"/>
      <c r="G72" s="825"/>
      <c r="H72" s="825"/>
      <c r="I72" s="825"/>
      <c r="J72" s="825"/>
      <c r="K72" s="825"/>
      <c r="L72" s="825"/>
      <c r="M72" s="825"/>
      <c r="N72" s="825"/>
      <c r="O72" s="825"/>
    </row>
    <row r="73" spans="1:15" ht="16.5" customHeight="1" x14ac:dyDescent="0.3">
      <c r="A73" s="825"/>
      <c r="B73" s="825"/>
      <c r="C73" s="825"/>
      <c r="D73" s="825"/>
      <c r="E73" s="825"/>
      <c r="F73" s="825"/>
      <c r="G73" s="825"/>
      <c r="H73" s="825"/>
      <c r="I73" s="825"/>
      <c r="J73" s="825"/>
      <c r="K73" s="825"/>
      <c r="L73" s="825"/>
      <c r="M73" s="825"/>
      <c r="N73" s="825"/>
      <c r="O73" s="825"/>
    </row>
    <row r="74" spans="1:15" ht="16.5" customHeight="1" x14ac:dyDescent="0.3">
      <c r="A74" s="825"/>
      <c r="B74" s="825"/>
      <c r="C74" s="825"/>
      <c r="D74" s="825"/>
      <c r="E74" s="825"/>
      <c r="F74" s="825"/>
      <c r="G74" s="825"/>
      <c r="H74" s="825"/>
      <c r="I74" s="825"/>
      <c r="J74" s="825"/>
      <c r="K74" s="825"/>
      <c r="L74" s="825"/>
      <c r="M74" s="825"/>
      <c r="N74" s="825"/>
      <c r="O74" s="825"/>
    </row>
    <row r="75" spans="1:15" ht="16.5" customHeight="1" x14ac:dyDescent="0.3">
      <c r="A75" s="825"/>
      <c r="B75" s="825"/>
      <c r="C75" s="825"/>
      <c r="D75" s="825"/>
      <c r="E75" s="825"/>
      <c r="F75" s="825"/>
      <c r="G75" s="825"/>
      <c r="H75" s="825"/>
      <c r="I75" s="825"/>
      <c r="J75" s="825"/>
      <c r="K75" s="825"/>
      <c r="L75" s="825"/>
      <c r="M75" s="825"/>
      <c r="N75" s="825"/>
      <c r="O75" s="825"/>
    </row>
    <row r="76" spans="1:15" ht="16.5" customHeight="1" x14ac:dyDescent="0.3">
      <c r="A76" s="825"/>
      <c r="B76" s="825"/>
      <c r="C76" s="825"/>
      <c r="D76" s="825"/>
      <c r="E76" s="825"/>
      <c r="F76" s="825"/>
      <c r="G76" s="825"/>
      <c r="H76" s="825"/>
      <c r="I76" s="825"/>
      <c r="J76" s="825"/>
      <c r="K76" s="825"/>
      <c r="L76" s="825"/>
      <c r="M76" s="825"/>
      <c r="N76" s="825"/>
      <c r="O76" s="825"/>
    </row>
    <row r="77" spans="1:15" ht="16.5" customHeight="1" x14ac:dyDescent="0.3">
      <c r="A77" s="825"/>
      <c r="B77" s="825"/>
      <c r="C77" s="825"/>
      <c r="D77" s="825"/>
      <c r="E77" s="825"/>
      <c r="F77" s="825"/>
      <c r="G77" s="825"/>
      <c r="H77" s="825"/>
      <c r="I77" s="825"/>
      <c r="J77" s="825"/>
      <c r="K77" s="825"/>
      <c r="L77" s="825"/>
      <c r="M77" s="825"/>
      <c r="N77" s="825"/>
      <c r="O77" s="825"/>
    </row>
    <row r="78" spans="1:15" ht="16.5" customHeight="1" x14ac:dyDescent="0.3">
      <c r="A78" s="825"/>
      <c r="B78" s="825"/>
      <c r="C78" s="825"/>
      <c r="D78" s="825"/>
      <c r="E78" s="825"/>
      <c r="F78" s="825"/>
      <c r="G78" s="825"/>
      <c r="H78" s="825"/>
      <c r="I78" s="825"/>
      <c r="J78" s="825"/>
      <c r="K78" s="825"/>
      <c r="L78" s="825"/>
      <c r="M78" s="825"/>
      <c r="N78" s="825"/>
      <c r="O78" s="825"/>
    </row>
    <row r="79" spans="1:15" ht="16.5" customHeight="1" x14ac:dyDescent="0.3">
      <c r="A79" s="825"/>
      <c r="B79" s="825"/>
      <c r="C79" s="825"/>
      <c r="D79" s="825"/>
      <c r="E79" s="825"/>
      <c r="F79" s="825"/>
      <c r="G79" s="825"/>
      <c r="H79" s="825"/>
      <c r="I79" s="825"/>
      <c r="J79" s="825"/>
      <c r="K79" s="825"/>
      <c r="L79" s="825"/>
      <c r="M79" s="825"/>
      <c r="N79" s="825"/>
      <c r="O79" s="825"/>
    </row>
    <row r="80" spans="1:15" ht="16.5" customHeight="1" x14ac:dyDescent="0.3">
      <c r="A80" s="825"/>
      <c r="B80" s="825"/>
      <c r="C80" s="825"/>
      <c r="D80" s="825"/>
      <c r="E80" s="825"/>
      <c r="F80" s="825"/>
      <c r="G80" s="825"/>
      <c r="H80" s="825"/>
      <c r="I80" s="825"/>
      <c r="J80" s="825"/>
      <c r="K80" s="825"/>
      <c r="L80" s="825"/>
      <c r="M80" s="825"/>
      <c r="N80" s="825"/>
      <c r="O80" s="825"/>
    </row>
    <row r="81" spans="1:15" ht="16.5" customHeight="1" x14ac:dyDescent="0.3">
      <c r="A81" s="825"/>
      <c r="B81" s="825"/>
      <c r="C81" s="825"/>
      <c r="D81" s="825"/>
      <c r="E81" s="825"/>
      <c r="F81" s="825"/>
      <c r="G81" s="825"/>
      <c r="H81" s="825"/>
      <c r="I81" s="825"/>
      <c r="J81" s="825"/>
      <c r="K81" s="825"/>
      <c r="L81" s="825"/>
      <c r="M81" s="825"/>
      <c r="N81" s="825"/>
      <c r="O81" s="825"/>
    </row>
    <row r="82" spans="1:15" ht="16.5" customHeight="1" x14ac:dyDescent="0.3">
      <c r="A82" s="825"/>
      <c r="B82" s="825"/>
      <c r="C82" s="825"/>
      <c r="D82" s="825"/>
      <c r="E82" s="825"/>
      <c r="F82" s="825"/>
      <c r="G82" s="825"/>
      <c r="H82" s="825"/>
      <c r="I82" s="825"/>
      <c r="J82" s="825"/>
      <c r="K82" s="825"/>
      <c r="L82" s="825"/>
      <c r="M82" s="825"/>
      <c r="N82" s="825"/>
      <c r="O82" s="825"/>
    </row>
    <row r="83" spans="1:15" ht="16.5" customHeight="1" x14ac:dyDescent="0.3">
      <c r="A83" s="825"/>
      <c r="B83" s="825"/>
      <c r="C83" s="825"/>
      <c r="D83" s="825"/>
      <c r="E83" s="825"/>
      <c r="F83" s="825"/>
      <c r="G83" s="825"/>
      <c r="H83" s="825"/>
      <c r="I83" s="825"/>
      <c r="J83" s="825"/>
      <c r="K83" s="825"/>
      <c r="L83" s="825"/>
      <c r="M83" s="825"/>
      <c r="N83" s="825"/>
      <c r="O83" s="825"/>
    </row>
    <row r="84" spans="1:15" ht="16.5" customHeight="1" x14ac:dyDescent="0.3">
      <c r="A84" s="825"/>
      <c r="B84" s="825"/>
      <c r="C84" s="825"/>
      <c r="D84" s="825"/>
      <c r="E84" s="825"/>
      <c r="F84" s="825"/>
      <c r="G84" s="825"/>
      <c r="H84" s="825"/>
      <c r="I84" s="825"/>
      <c r="J84" s="825"/>
      <c r="K84" s="825"/>
      <c r="L84" s="825"/>
      <c r="M84" s="825"/>
      <c r="N84" s="825"/>
      <c r="O84" s="825"/>
    </row>
    <row r="85" spans="1:15" ht="16.5" customHeight="1" x14ac:dyDescent="0.3">
      <c r="A85" s="825"/>
      <c r="B85" s="825"/>
      <c r="C85" s="825"/>
      <c r="D85" s="825"/>
      <c r="E85" s="825"/>
      <c r="F85" s="825"/>
      <c r="G85" s="825"/>
      <c r="H85" s="825"/>
      <c r="I85" s="825"/>
      <c r="J85" s="825"/>
      <c r="K85" s="825"/>
      <c r="L85" s="825"/>
      <c r="M85" s="825"/>
      <c r="N85" s="825"/>
      <c r="O85" s="825"/>
    </row>
    <row r="86" spans="1:15" ht="16.5" customHeight="1" x14ac:dyDescent="0.3">
      <c r="A86" s="825"/>
      <c r="B86" s="825"/>
      <c r="C86" s="825"/>
      <c r="D86" s="825"/>
      <c r="E86" s="825"/>
      <c r="F86" s="825"/>
      <c r="G86" s="825"/>
      <c r="H86" s="825"/>
      <c r="I86" s="825"/>
      <c r="J86" s="825"/>
      <c r="K86" s="825"/>
      <c r="L86" s="825"/>
      <c r="M86" s="825"/>
      <c r="N86" s="825"/>
      <c r="O86" s="825"/>
    </row>
    <row r="87" spans="1:15" ht="16.5" customHeight="1" x14ac:dyDescent="0.3">
      <c r="A87" s="825"/>
      <c r="B87" s="825"/>
      <c r="C87" s="825"/>
      <c r="D87" s="825"/>
      <c r="E87" s="825"/>
      <c r="F87" s="825"/>
      <c r="G87" s="825"/>
      <c r="H87" s="825"/>
      <c r="I87" s="825"/>
      <c r="J87" s="825"/>
      <c r="K87" s="825"/>
      <c r="L87" s="825"/>
      <c r="M87" s="825"/>
      <c r="N87" s="825"/>
      <c r="O87" s="825"/>
    </row>
    <row r="88" spans="1:15" ht="16.5" customHeight="1" x14ac:dyDescent="0.3">
      <c r="A88" s="825"/>
      <c r="B88" s="825"/>
      <c r="C88" s="825"/>
      <c r="D88" s="825"/>
      <c r="E88" s="825"/>
      <c r="F88" s="825"/>
      <c r="G88" s="825"/>
      <c r="H88" s="825"/>
      <c r="I88" s="825"/>
      <c r="J88" s="825"/>
      <c r="K88" s="825"/>
      <c r="L88" s="825"/>
      <c r="M88" s="825"/>
      <c r="N88" s="825"/>
      <c r="O88" s="825"/>
    </row>
    <row r="89" spans="1:15" ht="16.5" customHeight="1" x14ac:dyDescent="0.3">
      <c r="A89" s="825"/>
      <c r="B89" s="825"/>
      <c r="C89" s="825"/>
      <c r="D89" s="825"/>
      <c r="E89" s="825"/>
      <c r="F89" s="825"/>
      <c r="G89" s="825"/>
      <c r="H89" s="825"/>
      <c r="I89" s="825"/>
      <c r="J89" s="825"/>
      <c r="K89" s="825"/>
      <c r="L89" s="825"/>
      <c r="M89" s="825"/>
      <c r="N89" s="825"/>
      <c r="O89" s="825"/>
    </row>
    <row r="90" spans="1:15" ht="16.5" customHeight="1" x14ac:dyDescent="0.3">
      <c r="A90" s="825"/>
      <c r="B90" s="825"/>
      <c r="C90" s="825"/>
      <c r="D90" s="825"/>
      <c r="E90" s="825"/>
      <c r="F90" s="825"/>
      <c r="G90" s="825"/>
      <c r="H90" s="825"/>
      <c r="I90" s="825"/>
      <c r="J90" s="825"/>
      <c r="K90" s="825"/>
      <c r="L90" s="825"/>
      <c r="M90" s="825"/>
      <c r="N90" s="825"/>
      <c r="O90" s="825"/>
    </row>
    <row r="91" spans="1:15" ht="16.5" customHeight="1" x14ac:dyDescent="0.3">
      <c r="A91" s="825"/>
      <c r="B91" s="825"/>
      <c r="C91" s="825"/>
      <c r="D91" s="825"/>
      <c r="E91" s="825"/>
      <c r="F91" s="825"/>
      <c r="G91" s="825"/>
      <c r="H91" s="825"/>
      <c r="I91" s="825"/>
      <c r="J91" s="825"/>
      <c r="K91" s="825"/>
      <c r="L91" s="825"/>
      <c r="M91" s="825"/>
      <c r="N91" s="825"/>
      <c r="O91" s="825"/>
    </row>
    <row r="92" spans="1:15" ht="16.5" customHeight="1" x14ac:dyDescent="0.3">
      <c r="A92" s="825"/>
      <c r="B92" s="825"/>
      <c r="C92" s="825"/>
      <c r="D92" s="825"/>
      <c r="E92" s="825"/>
      <c r="F92" s="825"/>
      <c r="G92" s="825"/>
      <c r="H92" s="825"/>
      <c r="I92" s="825"/>
      <c r="J92" s="825"/>
      <c r="K92" s="825"/>
      <c r="L92" s="825"/>
      <c r="M92" s="825"/>
      <c r="N92" s="825"/>
      <c r="O92" s="825"/>
    </row>
    <row r="93" spans="1:15" ht="16.5" customHeight="1" x14ac:dyDescent="0.3">
      <c r="A93" s="825"/>
      <c r="B93" s="825"/>
      <c r="C93" s="825"/>
      <c r="D93" s="825"/>
      <c r="E93" s="825"/>
      <c r="F93" s="825"/>
      <c r="G93" s="825"/>
      <c r="H93" s="825"/>
      <c r="I93" s="825"/>
      <c r="J93" s="825"/>
      <c r="K93" s="825"/>
      <c r="L93" s="825"/>
      <c r="M93" s="825"/>
      <c r="N93" s="825"/>
      <c r="O93" s="825"/>
    </row>
    <row r="94" spans="1:15" ht="16.5" customHeight="1" x14ac:dyDescent="0.3">
      <c r="A94" s="825"/>
      <c r="B94" s="825"/>
      <c r="C94" s="825"/>
      <c r="D94" s="825"/>
      <c r="E94" s="825"/>
      <c r="F94" s="825"/>
      <c r="G94" s="825"/>
      <c r="H94" s="825"/>
      <c r="I94" s="825"/>
      <c r="J94" s="825"/>
      <c r="K94" s="825"/>
      <c r="L94" s="825"/>
      <c r="M94" s="825"/>
      <c r="N94" s="825"/>
      <c r="O94" s="825"/>
    </row>
    <row r="95" spans="1:15" ht="16.5" customHeight="1" x14ac:dyDescent="0.3">
      <c r="A95" s="825"/>
      <c r="B95" s="825"/>
      <c r="C95" s="825"/>
      <c r="D95" s="825"/>
      <c r="E95" s="825"/>
      <c r="F95" s="825"/>
      <c r="G95" s="825"/>
      <c r="H95" s="825"/>
      <c r="I95" s="825"/>
      <c r="J95" s="825"/>
      <c r="K95" s="825"/>
      <c r="L95" s="825"/>
      <c r="M95" s="825"/>
      <c r="N95" s="825"/>
      <c r="O95" s="825"/>
    </row>
    <row r="96" spans="1:15" ht="16.5" customHeight="1" x14ac:dyDescent="0.3">
      <c r="A96" s="825"/>
      <c r="B96" s="825"/>
      <c r="C96" s="825"/>
      <c r="D96" s="825"/>
      <c r="E96" s="825"/>
      <c r="F96" s="825"/>
      <c r="G96" s="825"/>
      <c r="H96" s="825"/>
      <c r="I96" s="825"/>
      <c r="J96" s="825"/>
      <c r="K96" s="825"/>
      <c r="L96" s="825"/>
      <c r="M96" s="825"/>
      <c r="N96" s="825"/>
      <c r="O96" s="825"/>
    </row>
    <row r="97" spans="1:15" ht="16.5" customHeight="1" x14ac:dyDescent="0.3">
      <c r="A97" s="825"/>
      <c r="B97" s="825"/>
      <c r="C97" s="825"/>
      <c r="D97" s="825"/>
      <c r="E97" s="825"/>
      <c r="F97" s="825"/>
      <c r="G97" s="825"/>
      <c r="H97" s="825"/>
      <c r="I97" s="825"/>
      <c r="J97" s="825"/>
      <c r="K97" s="825"/>
      <c r="L97" s="825"/>
      <c r="M97" s="825"/>
      <c r="N97" s="825"/>
      <c r="O97" s="825"/>
    </row>
    <row r="98" spans="1:15" ht="16.5" customHeight="1" x14ac:dyDescent="0.3">
      <c r="A98" s="825"/>
      <c r="B98" s="825"/>
      <c r="C98" s="825"/>
      <c r="D98" s="825"/>
      <c r="E98" s="825"/>
      <c r="F98" s="825"/>
      <c r="G98" s="825"/>
      <c r="H98" s="825"/>
      <c r="I98" s="825"/>
      <c r="J98" s="825"/>
      <c r="K98" s="825"/>
      <c r="L98" s="825"/>
      <c r="M98" s="825"/>
      <c r="N98" s="825"/>
      <c r="O98" s="825"/>
    </row>
    <row r="99" spans="1:15" ht="16.5" customHeight="1" x14ac:dyDescent="0.3">
      <c r="A99" s="825"/>
      <c r="B99" s="825"/>
      <c r="C99" s="825"/>
      <c r="D99" s="825"/>
      <c r="E99" s="825"/>
      <c r="F99" s="825"/>
      <c r="G99" s="825"/>
      <c r="H99" s="825"/>
      <c r="I99" s="825"/>
      <c r="J99" s="825"/>
      <c r="K99" s="825"/>
      <c r="L99" s="825"/>
      <c r="M99" s="825"/>
      <c r="N99" s="825"/>
      <c r="O99" s="825"/>
    </row>
    <row r="100" spans="1:15" ht="16.5" customHeight="1" x14ac:dyDescent="0.3">
      <c r="A100" s="825"/>
      <c r="B100" s="825"/>
      <c r="C100" s="825"/>
      <c r="D100" s="825"/>
      <c r="E100" s="825"/>
      <c r="F100" s="825"/>
      <c r="G100" s="825"/>
      <c r="H100" s="825"/>
      <c r="I100" s="825"/>
      <c r="J100" s="825"/>
      <c r="K100" s="825"/>
      <c r="L100" s="825"/>
      <c r="M100" s="825"/>
      <c r="N100" s="825"/>
      <c r="O100" s="825"/>
    </row>
    <row r="101" spans="1:15" ht="16.5" customHeight="1" x14ac:dyDescent="0.3">
      <c r="A101" s="825"/>
      <c r="B101" s="825"/>
      <c r="C101" s="825"/>
      <c r="D101" s="825"/>
      <c r="E101" s="825"/>
      <c r="F101" s="825"/>
      <c r="G101" s="825"/>
      <c r="H101" s="825"/>
      <c r="I101" s="825"/>
      <c r="J101" s="825"/>
      <c r="K101" s="825"/>
      <c r="L101" s="825"/>
      <c r="M101" s="825"/>
      <c r="N101" s="825"/>
      <c r="O101" s="825"/>
    </row>
    <row r="102" spans="1:15" ht="16.5" customHeight="1" x14ac:dyDescent="0.3">
      <c r="A102" s="825"/>
      <c r="B102" s="825"/>
      <c r="C102" s="825"/>
      <c r="D102" s="825"/>
      <c r="E102" s="825"/>
      <c r="F102" s="825"/>
      <c r="G102" s="825"/>
      <c r="H102" s="825"/>
      <c r="I102" s="825"/>
      <c r="J102" s="825"/>
      <c r="K102" s="825"/>
      <c r="L102" s="825"/>
      <c r="M102" s="825"/>
      <c r="N102" s="825"/>
      <c r="O102" s="825"/>
    </row>
    <row r="103" spans="1:15" ht="16.5" customHeight="1" x14ac:dyDescent="0.3">
      <c r="A103" s="825"/>
      <c r="B103" s="825"/>
      <c r="C103" s="825"/>
      <c r="D103" s="825"/>
      <c r="E103" s="825"/>
      <c r="F103" s="825"/>
      <c r="G103" s="825"/>
      <c r="H103" s="825"/>
      <c r="I103" s="825"/>
      <c r="J103" s="825"/>
      <c r="K103" s="825"/>
      <c r="L103" s="825"/>
      <c r="M103" s="825"/>
      <c r="N103" s="825"/>
      <c r="O103" s="825"/>
    </row>
    <row r="104" spans="1:15" ht="16.5" customHeight="1" x14ac:dyDescent="0.3">
      <c r="A104" s="825"/>
      <c r="B104" s="825"/>
      <c r="C104" s="825"/>
      <c r="D104" s="825"/>
      <c r="E104" s="825"/>
      <c r="F104" s="825"/>
      <c r="G104" s="825"/>
      <c r="H104" s="825"/>
      <c r="I104" s="825"/>
      <c r="J104" s="825"/>
      <c r="K104" s="825"/>
      <c r="L104" s="825"/>
      <c r="M104" s="825"/>
      <c r="N104" s="825"/>
      <c r="O104" s="825"/>
    </row>
    <row r="105" spans="1:15" ht="16.5" customHeight="1" x14ac:dyDescent="0.3">
      <c r="A105" s="825"/>
      <c r="B105" s="825"/>
      <c r="C105" s="825"/>
      <c r="D105" s="825"/>
      <c r="E105" s="825"/>
      <c r="F105" s="825"/>
      <c r="G105" s="825"/>
      <c r="H105" s="825"/>
      <c r="I105" s="825"/>
      <c r="J105" s="825"/>
      <c r="K105" s="825"/>
      <c r="L105" s="825"/>
      <c r="M105" s="825"/>
      <c r="N105" s="825"/>
      <c r="O105" s="825"/>
    </row>
    <row r="106" spans="1:15" ht="16.5" customHeight="1" x14ac:dyDescent="0.3">
      <c r="A106" s="825"/>
      <c r="B106" s="825"/>
      <c r="C106" s="825"/>
      <c r="D106" s="825"/>
      <c r="E106" s="825"/>
      <c r="F106" s="825"/>
      <c r="G106" s="825"/>
      <c r="H106" s="825"/>
      <c r="I106" s="825"/>
      <c r="J106" s="825"/>
      <c r="K106" s="825"/>
      <c r="L106" s="825"/>
      <c r="M106" s="825"/>
      <c r="N106" s="825"/>
      <c r="O106" s="825"/>
    </row>
    <row r="107" spans="1:15" ht="16.5" customHeight="1" x14ac:dyDescent="0.3">
      <c r="A107" s="825"/>
      <c r="B107" s="825"/>
      <c r="C107" s="825"/>
      <c r="D107" s="825"/>
      <c r="E107" s="825"/>
      <c r="F107" s="825"/>
      <c r="G107" s="825"/>
      <c r="H107" s="825"/>
      <c r="I107" s="825"/>
      <c r="J107" s="825"/>
      <c r="K107" s="825"/>
      <c r="L107" s="825"/>
      <c r="M107" s="825"/>
      <c r="N107" s="825"/>
      <c r="O107" s="825"/>
    </row>
    <row r="108" spans="1:15" ht="16.5" customHeight="1" x14ac:dyDescent="0.3">
      <c r="A108" s="825"/>
      <c r="B108" s="825"/>
      <c r="C108" s="825"/>
      <c r="D108" s="825"/>
      <c r="E108" s="825"/>
      <c r="F108" s="825"/>
      <c r="G108" s="825"/>
      <c r="H108" s="825"/>
      <c r="I108" s="825"/>
      <c r="J108" s="825"/>
      <c r="K108" s="825"/>
      <c r="L108" s="825"/>
      <c r="M108" s="825"/>
      <c r="N108" s="825"/>
      <c r="O108" s="825"/>
    </row>
    <row r="109" spans="1:15" ht="16.5" customHeight="1" x14ac:dyDescent="0.3">
      <c r="A109" s="825"/>
      <c r="B109" s="825"/>
      <c r="C109" s="825"/>
      <c r="D109" s="825"/>
      <c r="E109" s="825"/>
      <c r="F109" s="825"/>
      <c r="G109" s="825"/>
      <c r="H109" s="825"/>
      <c r="I109" s="825"/>
      <c r="J109" s="825"/>
      <c r="K109" s="825"/>
      <c r="L109" s="825"/>
      <c r="M109" s="825"/>
      <c r="N109" s="825"/>
      <c r="O109" s="825"/>
    </row>
    <row r="110" spans="1:15" ht="16.5" customHeight="1" x14ac:dyDescent="0.3">
      <c r="A110" s="825"/>
      <c r="B110" s="825"/>
      <c r="C110" s="825"/>
      <c r="D110" s="825"/>
      <c r="E110" s="825"/>
      <c r="F110" s="825"/>
      <c r="G110" s="825"/>
      <c r="H110" s="825"/>
      <c r="I110" s="825"/>
      <c r="J110" s="825"/>
      <c r="K110" s="825"/>
      <c r="L110" s="825"/>
      <c r="M110" s="825"/>
      <c r="N110" s="825"/>
      <c r="O110" s="825"/>
    </row>
    <row r="111" spans="1:15" ht="16.5" customHeight="1" x14ac:dyDescent="0.3">
      <c r="A111" s="825"/>
      <c r="B111" s="825"/>
      <c r="C111" s="825"/>
      <c r="D111" s="825"/>
      <c r="E111" s="825"/>
      <c r="F111" s="825"/>
      <c r="G111" s="825"/>
      <c r="H111" s="825"/>
      <c r="I111" s="825"/>
      <c r="J111" s="825"/>
      <c r="K111" s="825"/>
      <c r="L111" s="825"/>
      <c r="M111" s="825"/>
      <c r="N111" s="825"/>
      <c r="O111" s="825"/>
    </row>
    <row r="112" spans="1:15" ht="16.5" customHeight="1" x14ac:dyDescent="0.3">
      <c r="A112" s="825"/>
      <c r="B112" s="825"/>
      <c r="C112" s="825"/>
      <c r="D112" s="825"/>
      <c r="E112" s="825"/>
      <c r="F112" s="825"/>
      <c r="G112" s="825"/>
      <c r="H112" s="825"/>
      <c r="I112" s="825"/>
      <c r="J112" s="825"/>
      <c r="K112" s="825"/>
      <c r="L112" s="825"/>
      <c r="M112" s="825"/>
      <c r="N112" s="825"/>
      <c r="O112" s="825"/>
    </row>
    <row r="113" spans="1:15" ht="16.5" customHeight="1" x14ac:dyDescent="0.3">
      <c r="A113" s="825"/>
      <c r="B113" s="825"/>
      <c r="C113" s="825"/>
      <c r="D113" s="825"/>
      <c r="E113" s="825"/>
      <c r="F113" s="825"/>
      <c r="G113" s="825"/>
      <c r="H113" s="825"/>
      <c r="I113" s="825"/>
      <c r="J113" s="825"/>
      <c r="K113" s="825"/>
      <c r="L113" s="825"/>
      <c r="M113" s="825"/>
      <c r="N113" s="825"/>
      <c r="O113" s="825"/>
    </row>
    <row r="114" spans="1:15" ht="16.5" customHeight="1" x14ac:dyDescent="0.3">
      <c r="A114" s="825"/>
      <c r="B114" s="825"/>
      <c r="C114" s="825"/>
      <c r="D114" s="825"/>
      <c r="E114" s="825"/>
      <c r="F114" s="825"/>
      <c r="G114" s="825"/>
      <c r="H114" s="825"/>
      <c r="I114" s="825"/>
      <c r="J114" s="825"/>
      <c r="K114" s="825"/>
      <c r="L114" s="825"/>
      <c r="M114" s="825"/>
      <c r="N114" s="825"/>
      <c r="O114" s="825"/>
    </row>
    <row r="115" spans="1:15" ht="16.5" customHeight="1" x14ac:dyDescent="0.3">
      <c r="A115" s="825"/>
      <c r="B115" s="825"/>
      <c r="C115" s="825"/>
      <c r="D115" s="825"/>
      <c r="E115" s="825"/>
      <c r="F115" s="825"/>
      <c r="G115" s="825"/>
      <c r="H115" s="825"/>
      <c r="I115" s="825"/>
      <c r="J115" s="825"/>
      <c r="K115" s="825"/>
      <c r="L115" s="825"/>
      <c r="M115" s="825"/>
      <c r="N115" s="825"/>
      <c r="O115" s="825"/>
    </row>
    <row r="116" spans="1:15" ht="16.5" customHeight="1" x14ac:dyDescent="0.3">
      <c r="A116" s="825"/>
      <c r="B116" s="825"/>
      <c r="C116" s="825"/>
      <c r="D116" s="825"/>
      <c r="E116" s="825"/>
      <c r="F116" s="825"/>
      <c r="G116" s="825"/>
      <c r="H116" s="825"/>
      <c r="I116" s="825"/>
      <c r="J116" s="825"/>
      <c r="K116" s="825"/>
      <c r="L116" s="825"/>
      <c r="M116" s="825"/>
      <c r="N116" s="825"/>
      <c r="O116" s="825"/>
    </row>
    <row r="117" spans="1:15" ht="16.5" customHeight="1" x14ac:dyDescent="0.3">
      <c r="A117" s="825"/>
      <c r="B117" s="825"/>
      <c r="C117" s="825"/>
      <c r="D117" s="825"/>
      <c r="E117" s="825"/>
      <c r="F117" s="825"/>
      <c r="G117" s="825"/>
      <c r="H117" s="825"/>
      <c r="I117" s="825"/>
      <c r="J117" s="825"/>
      <c r="K117" s="825"/>
      <c r="L117" s="825"/>
      <c r="M117" s="825"/>
      <c r="N117" s="825"/>
      <c r="O117" s="825"/>
    </row>
    <row r="118" spans="1:15" ht="16.5" customHeight="1" x14ac:dyDescent="0.3">
      <c r="A118" s="825"/>
      <c r="B118" s="825"/>
      <c r="C118" s="825"/>
      <c r="D118" s="825"/>
      <c r="E118" s="825"/>
      <c r="F118" s="825"/>
      <c r="G118" s="825"/>
      <c r="H118" s="825"/>
      <c r="I118" s="825"/>
      <c r="J118" s="825"/>
      <c r="K118" s="825"/>
      <c r="L118" s="825"/>
      <c r="M118" s="825"/>
      <c r="N118" s="825"/>
      <c r="O118" s="825"/>
    </row>
    <row r="119" spans="1:15" ht="16.5" customHeight="1" x14ac:dyDescent="0.3">
      <c r="A119" s="825"/>
      <c r="B119" s="825"/>
      <c r="C119" s="825"/>
      <c r="D119" s="825"/>
      <c r="E119" s="825"/>
      <c r="F119" s="825"/>
      <c r="G119" s="825"/>
      <c r="H119" s="825"/>
      <c r="I119" s="825"/>
      <c r="J119" s="825"/>
      <c r="K119" s="825"/>
      <c r="L119" s="825"/>
      <c r="M119" s="825"/>
      <c r="N119" s="825"/>
      <c r="O119" s="825"/>
    </row>
    <row r="120" spans="1:15" ht="16.5" customHeight="1" x14ac:dyDescent="0.3">
      <c r="A120" s="825"/>
      <c r="B120" s="825"/>
      <c r="C120" s="825"/>
      <c r="D120" s="825"/>
      <c r="E120" s="825"/>
      <c r="F120" s="825"/>
      <c r="G120" s="825"/>
      <c r="H120" s="825"/>
      <c r="I120" s="825"/>
      <c r="J120" s="825"/>
      <c r="K120" s="825"/>
      <c r="L120" s="825"/>
      <c r="M120" s="825"/>
      <c r="N120" s="825"/>
      <c r="O120" s="825"/>
    </row>
    <row r="121" spans="1:15" ht="16.5" customHeight="1" x14ac:dyDescent="0.3">
      <c r="A121" s="825"/>
      <c r="B121" s="825"/>
      <c r="C121" s="825"/>
      <c r="D121" s="825"/>
      <c r="E121" s="825"/>
      <c r="F121" s="825"/>
      <c r="G121" s="825"/>
      <c r="H121" s="825"/>
      <c r="I121" s="825"/>
      <c r="J121" s="825"/>
      <c r="K121" s="825"/>
      <c r="L121" s="825"/>
      <c r="M121" s="825"/>
      <c r="N121" s="825"/>
      <c r="O121" s="825"/>
    </row>
    <row r="122" spans="1:15" ht="16.5" customHeight="1" x14ac:dyDescent="0.3">
      <c r="A122" s="825"/>
      <c r="B122" s="825"/>
      <c r="C122" s="825"/>
      <c r="D122" s="825"/>
      <c r="E122" s="825"/>
      <c r="F122" s="825"/>
      <c r="G122" s="825"/>
      <c r="H122" s="825"/>
      <c r="I122" s="825"/>
      <c r="J122" s="825"/>
      <c r="K122" s="825"/>
      <c r="L122" s="825"/>
      <c r="M122" s="825"/>
      <c r="N122" s="825"/>
      <c r="O122" s="825"/>
    </row>
    <row r="123" spans="1:15" ht="16.5" customHeight="1" x14ac:dyDescent="0.3">
      <c r="A123" s="825"/>
      <c r="B123" s="825"/>
      <c r="C123" s="825"/>
      <c r="D123" s="825"/>
      <c r="E123" s="825"/>
      <c r="F123" s="825"/>
      <c r="G123" s="825"/>
      <c r="H123" s="825"/>
      <c r="I123" s="825"/>
      <c r="J123" s="825"/>
      <c r="K123" s="825"/>
      <c r="L123" s="825"/>
      <c r="M123" s="825"/>
      <c r="N123" s="825"/>
      <c r="O123" s="825"/>
    </row>
    <row r="124" spans="1:15" ht="16.5" customHeight="1" x14ac:dyDescent="0.3">
      <c r="A124" s="825"/>
      <c r="B124" s="825"/>
      <c r="C124" s="825"/>
      <c r="D124" s="825"/>
      <c r="E124" s="825"/>
      <c r="F124" s="825"/>
      <c r="G124" s="825"/>
      <c r="H124" s="825"/>
      <c r="I124" s="825"/>
      <c r="J124" s="825"/>
      <c r="K124" s="825"/>
      <c r="L124" s="825"/>
      <c r="M124" s="825"/>
      <c r="N124" s="825"/>
      <c r="O124" s="825"/>
    </row>
    <row r="125" spans="1:15" ht="16.5" customHeight="1" x14ac:dyDescent="0.3">
      <c r="A125" s="825"/>
      <c r="B125" s="825"/>
      <c r="C125" s="825"/>
      <c r="D125" s="825"/>
      <c r="E125" s="825"/>
      <c r="F125" s="825"/>
      <c r="G125" s="825"/>
      <c r="H125" s="825"/>
      <c r="I125" s="825"/>
      <c r="J125" s="825"/>
      <c r="K125" s="825"/>
      <c r="L125" s="825"/>
      <c r="M125" s="825"/>
      <c r="N125" s="825"/>
      <c r="O125" s="825"/>
    </row>
    <row r="126" spans="1:15" ht="16.5" customHeight="1" x14ac:dyDescent="0.3">
      <c r="A126" s="825"/>
      <c r="B126" s="825"/>
      <c r="C126" s="825"/>
      <c r="D126" s="825"/>
      <c r="E126" s="825"/>
      <c r="F126" s="825"/>
      <c r="G126" s="825"/>
      <c r="H126" s="825"/>
      <c r="I126" s="825"/>
      <c r="J126" s="825"/>
      <c r="K126" s="825"/>
      <c r="L126" s="825"/>
      <c r="M126" s="825"/>
      <c r="N126" s="825"/>
      <c r="O126" s="825"/>
    </row>
    <row r="127" spans="1:15" ht="16.5" customHeight="1" x14ac:dyDescent="0.3">
      <c r="A127" s="825"/>
      <c r="B127" s="825"/>
      <c r="C127" s="825"/>
      <c r="D127" s="825"/>
      <c r="E127" s="825"/>
      <c r="F127" s="825"/>
      <c r="G127" s="825"/>
      <c r="H127" s="825"/>
      <c r="I127" s="825"/>
      <c r="J127" s="825"/>
      <c r="K127" s="825"/>
      <c r="L127" s="825"/>
      <c r="M127" s="825"/>
      <c r="N127" s="825"/>
      <c r="O127" s="825"/>
    </row>
    <row r="128" spans="1:15" ht="16.5" customHeight="1" x14ac:dyDescent="0.3">
      <c r="A128" s="825"/>
      <c r="B128" s="825"/>
      <c r="C128" s="825"/>
      <c r="D128" s="825"/>
      <c r="E128" s="825"/>
      <c r="F128" s="825"/>
      <c r="G128" s="825"/>
      <c r="H128" s="825"/>
      <c r="I128" s="825"/>
      <c r="J128" s="825"/>
      <c r="K128" s="825"/>
      <c r="L128" s="825"/>
      <c r="M128" s="825"/>
      <c r="N128" s="825"/>
      <c r="O128" s="825"/>
    </row>
    <row r="129" spans="1:15" ht="16.5" customHeight="1" x14ac:dyDescent="0.3">
      <c r="A129" s="825"/>
      <c r="B129" s="825"/>
      <c r="C129" s="825"/>
      <c r="D129" s="825"/>
      <c r="E129" s="825"/>
      <c r="F129" s="825"/>
      <c r="G129" s="825"/>
      <c r="H129" s="825"/>
      <c r="I129" s="825"/>
      <c r="J129" s="825"/>
      <c r="K129" s="825"/>
      <c r="L129" s="825"/>
      <c r="M129" s="825"/>
      <c r="N129" s="825"/>
      <c r="O129" s="825"/>
    </row>
    <row r="130" spans="1:15" ht="16.5" customHeight="1" x14ac:dyDescent="0.3">
      <c r="A130" s="825"/>
      <c r="B130" s="825"/>
      <c r="C130" s="825"/>
      <c r="D130" s="825"/>
      <c r="E130" s="825"/>
      <c r="F130" s="825"/>
      <c r="G130" s="825"/>
      <c r="H130" s="825"/>
      <c r="I130" s="825"/>
      <c r="J130" s="825"/>
      <c r="K130" s="825"/>
      <c r="L130" s="825"/>
      <c r="M130" s="825"/>
      <c r="N130" s="825"/>
      <c r="O130" s="825"/>
    </row>
    <row r="131" spans="1:15" ht="16.5" customHeight="1" x14ac:dyDescent="0.3">
      <c r="A131" s="825"/>
      <c r="B131" s="825"/>
      <c r="C131" s="825"/>
      <c r="D131" s="825"/>
      <c r="E131" s="825"/>
      <c r="F131" s="825"/>
      <c r="G131" s="825"/>
      <c r="H131" s="825"/>
      <c r="I131" s="825"/>
      <c r="J131" s="825"/>
      <c r="K131" s="825"/>
      <c r="L131" s="825"/>
      <c r="M131" s="825"/>
      <c r="N131" s="825"/>
      <c r="O131" s="825"/>
    </row>
    <row r="132" spans="1:15" ht="16.5" customHeight="1" x14ac:dyDescent="0.3">
      <c r="A132" s="825"/>
      <c r="B132" s="825"/>
      <c r="C132" s="825"/>
      <c r="D132" s="825"/>
      <c r="E132" s="825"/>
      <c r="F132" s="825"/>
      <c r="G132" s="825"/>
      <c r="H132" s="825"/>
      <c r="I132" s="825"/>
      <c r="J132" s="825"/>
      <c r="K132" s="825"/>
      <c r="L132" s="825"/>
      <c r="M132" s="825"/>
      <c r="N132" s="825"/>
      <c r="O132" s="825"/>
    </row>
    <row r="133" spans="1:15" ht="16.5" customHeight="1" x14ac:dyDescent="0.3">
      <c r="A133" s="825"/>
      <c r="B133" s="825"/>
      <c r="C133" s="825"/>
      <c r="D133" s="825"/>
      <c r="E133" s="825"/>
      <c r="F133" s="825"/>
      <c r="G133" s="825"/>
      <c r="H133" s="825"/>
      <c r="I133" s="825"/>
      <c r="J133" s="825"/>
      <c r="K133" s="825"/>
      <c r="L133" s="825"/>
      <c r="M133" s="825"/>
      <c r="N133" s="825"/>
      <c r="O133" s="825"/>
    </row>
    <row r="134" spans="1:15" ht="16.5" customHeight="1" x14ac:dyDescent="0.3">
      <c r="A134" s="825"/>
      <c r="B134" s="825"/>
      <c r="C134" s="825"/>
      <c r="D134" s="825"/>
      <c r="E134" s="825"/>
      <c r="F134" s="825"/>
      <c r="G134" s="825"/>
      <c r="H134" s="825"/>
      <c r="I134" s="825"/>
      <c r="J134" s="825"/>
      <c r="K134" s="825"/>
      <c r="L134" s="825"/>
      <c r="M134" s="825"/>
      <c r="N134" s="825"/>
      <c r="O134" s="825"/>
    </row>
    <row r="135" spans="1:15" ht="16.5" customHeight="1" x14ac:dyDescent="0.3">
      <c r="A135" s="825"/>
      <c r="B135" s="825"/>
      <c r="C135" s="825"/>
      <c r="D135" s="825"/>
      <c r="E135" s="825"/>
      <c r="F135" s="825"/>
      <c r="G135" s="825"/>
      <c r="H135" s="825"/>
      <c r="I135" s="825"/>
      <c r="J135" s="825"/>
      <c r="K135" s="825"/>
      <c r="L135" s="825"/>
      <c r="M135" s="825"/>
      <c r="N135" s="825"/>
      <c r="O135" s="825"/>
    </row>
    <row r="136" spans="1:15" ht="16.5" customHeight="1" x14ac:dyDescent="0.3">
      <c r="A136" s="825"/>
      <c r="B136" s="825"/>
      <c r="C136" s="825"/>
      <c r="D136" s="825"/>
      <c r="E136" s="825"/>
      <c r="F136" s="825"/>
      <c r="G136" s="825"/>
      <c r="H136" s="825"/>
      <c r="I136" s="825"/>
      <c r="J136" s="825"/>
      <c r="K136" s="825"/>
      <c r="L136" s="825"/>
      <c r="M136" s="825"/>
      <c r="N136" s="825"/>
      <c r="O136" s="825"/>
    </row>
    <row r="137" spans="1:15" ht="16.5" customHeight="1" x14ac:dyDescent="0.3">
      <c r="A137" s="825"/>
      <c r="B137" s="825"/>
      <c r="C137" s="825"/>
      <c r="D137" s="825"/>
      <c r="E137" s="825"/>
      <c r="F137" s="825"/>
      <c r="G137" s="825"/>
      <c r="H137" s="825"/>
      <c r="I137" s="825"/>
      <c r="J137" s="825"/>
      <c r="K137" s="825"/>
      <c r="L137" s="825"/>
      <c r="M137" s="825"/>
      <c r="N137" s="825"/>
      <c r="O137" s="825"/>
    </row>
    <row r="138" spans="1:15" ht="16.5" customHeight="1" x14ac:dyDescent="0.3">
      <c r="A138" s="825"/>
      <c r="B138" s="825"/>
      <c r="C138" s="825"/>
      <c r="D138" s="825"/>
      <c r="E138" s="825"/>
      <c r="F138" s="825"/>
      <c r="G138" s="825"/>
      <c r="H138" s="825"/>
      <c r="I138" s="825"/>
      <c r="J138" s="825"/>
      <c r="K138" s="825"/>
      <c r="L138" s="825"/>
      <c r="M138" s="825"/>
      <c r="N138" s="825"/>
      <c r="O138" s="825"/>
    </row>
    <row r="139" spans="1:15" ht="16.5" customHeight="1" x14ac:dyDescent="0.3">
      <c r="A139" s="825"/>
      <c r="B139" s="825"/>
      <c r="C139" s="825"/>
      <c r="D139" s="825"/>
      <c r="E139" s="825"/>
      <c r="F139" s="825"/>
      <c r="G139" s="825"/>
      <c r="H139" s="825"/>
      <c r="I139" s="825"/>
      <c r="J139" s="825"/>
      <c r="K139" s="825"/>
      <c r="L139" s="825"/>
      <c r="M139" s="825"/>
      <c r="N139" s="825"/>
      <c r="O139" s="825"/>
    </row>
    <row r="140" spans="1:15" ht="16.5" customHeight="1" x14ac:dyDescent="0.3">
      <c r="A140" s="825"/>
      <c r="B140" s="825"/>
      <c r="C140" s="825"/>
      <c r="D140" s="825"/>
      <c r="E140" s="825"/>
      <c r="F140" s="825"/>
      <c r="G140" s="825"/>
      <c r="H140" s="825"/>
      <c r="I140" s="825"/>
      <c r="J140" s="825"/>
      <c r="K140" s="825"/>
      <c r="L140" s="825"/>
      <c r="M140" s="825"/>
      <c r="N140" s="825"/>
      <c r="O140" s="825"/>
    </row>
    <row r="141" spans="1:15" ht="16.5" customHeight="1" x14ac:dyDescent="0.3">
      <c r="A141" s="825"/>
      <c r="B141" s="825"/>
      <c r="C141" s="825"/>
      <c r="D141" s="825"/>
      <c r="E141" s="825"/>
      <c r="F141" s="825"/>
      <c r="G141" s="825"/>
      <c r="H141" s="825"/>
      <c r="I141" s="825"/>
      <c r="J141" s="825"/>
      <c r="K141" s="825"/>
      <c r="L141" s="825"/>
      <c r="M141" s="825"/>
      <c r="N141" s="825"/>
      <c r="O141" s="825"/>
    </row>
    <row r="142" spans="1:15" ht="16.5" customHeight="1" x14ac:dyDescent="0.3">
      <c r="A142" s="825"/>
      <c r="B142" s="825"/>
      <c r="C142" s="825"/>
      <c r="D142" s="825"/>
      <c r="E142" s="825"/>
      <c r="F142" s="825"/>
      <c r="G142" s="825"/>
      <c r="H142" s="825"/>
      <c r="I142" s="825"/>
      <c r="J142" s="825"/>
      <c r="K142" s="825"/>
      <c r="L142" s="825"/>
      <c r="M142" s="825"/>
      <c r="N142" s="825"/>
      <c r="O142" s="825"/>
    </row>
    <row r="143" spans="1:15" ht="16.5" customHeight="1" x14ac:dyDescent="0.3">
      <c r="A143" s="825"/>
      <c r="B143" s="825"/>
      <c r="C143" s="825"/>
      <c r="D143" s="825"/>
      <c r="E143" s="825"/>
      <c r="F143" s="825"/>
      <c r="G143" s="825"/>
      <c r="H143" s="825"/>
      <c r="I143" s="825"/>
      <c r="J143" s="825"/>
      <c r="K143" s="825"/>
      <c r="L143" s="825"/>
      <c r="M143" s="825"/>
      <c r="N143" s="825"/>
      <c r="O143" s="825"/>
    </row>
    <row r="144" spans="1:15" ht="16.5" customHeight="1" x14ac:dyDescent="0.3">
      <c r="A144" s="825"/>
      <c r="B144" s="825"/>
      <c r="C144" s="825"/>
      <c r="D144" s="825"/>
      <c r="E144" s="825"/>
      <c r="F144" s="825"/>
      <c r="G144" s="825"/>
      <c r="H144" s="825"/>
      <c r="I144" s="825"/>
      <c r="J144" s="825"/>
      <c r="K144" s="825"/>
      <c r="L144" s="825"/>
      <c r="M144" s="825"/>
      <c r="N144" s="825"/>
      <c r="O144" s="825"/>
    </row>
    <row r="145" spans="1:15" ht="16.5" customHeight="1" x14ac:dyDescent="0.3">
      <c r="A145" s="825"/>
      <c r="B145" s="825"/>
      <c r="C145" s="825"/>
      <c r="D145" s="825"/>
      <c r="E145" s="825"/>
      <c r="F145" s="825"/>
      <c r="G145" s="825"/>
      <c r="H145" s="825"/>
      <c r="I145" s="825"/>
      <c r="J145" s="825"/>
      <c r="K145" s="825"/>
      <c r="L145" s="825"/>
      <c r="M145" s="825"/>
      <c r="N145" s="825"/>
      <c r="O145" s="825"/>
    </row>
    <row r="146" spans="1:15" ht="16.5" customHeight="1" x14ac:dyDescent="0.3">
      <c r="A146" s="825"/>
      <c r="B146" s="825"/>
      <c r="C146" s="825"/>
      <c r="D146" s="825"/>
      <c r="E146" s="825"/>
      <c r="F146" s="825"/>
      <c r="G146" s="825"/>
      <c r="H146" s="825"/>
      <c r="I146" s="825"/>
      <c r="J146" s="825"/>
      <c r="K146" s="825"/>
      <c r="L146" s="825"/>
      <c r="M146" s="825"/>
      <c r="N146" s="825"/>
      <c r="O146" s="825"/>
    </row>
    <row r="147" spans="1:15" ht="16.5" customHeight="1" x14ac:dyDescent="0.3">
      <c r="A147" s="825"/>
      <c r="B147" s="825"/>
      <c r="C147" s="825"/>
      <c r="D147" s="825"/>
      <c r="E147" s="825"/>
      <c r="F147" s="825"/>
      <c r="G147" s="825"/>
      <c r="H147" s="825"/>
      <c r="I147" s="825"/>
      <c r="J147" s="825"/>
      <c r="K147" s="825"/>
      <c r="L147" s="825"/>
      <c r="M147" s="825"/>
      <c r="N147" s="825"/>
      <c r="O147" s="825"/>
    </row>
    <row r="148" spans="1:15" ht="16.5" customHeight="1" x14ac:dyDescent="0.3">
      <c r="A148" s="825"/>
      <c r="B148" s="825"/>
      <c r="C148" s="825"/>
      <c r="D148" s="825"/>
      <c r="E148" s="825"/>
      <c r="F148" s="825"/>
      <c r="G148" s="825"/>
      <c r="H148" s="825"/>
      <c r="I148" s="825"/>
      <c r="J148" s="825"/>
      <c r="K148" s="825"/>
      <c r="L148" s="825"/>
      <c r="M148" s="825"/>
      <c r="N148" s="825"/>
      <c r="O148" s="825"/>
    </row>
    <row r="149" spans="1:15" ht="16.5" customHeight="1" x14ac:dyDescent="0.3">
      <c r="A149" s="825"/>
      <c r="B149" s="825"/>
      <c r="C149" s="825"/>
      <c r="D149" s="825"/>
      <c r="E149" s="825"/>
      <c r="F149" s="825"/>
      <c r="G149" s="825"/>
      <c r="H149" s="825"/>
      <c r="I149" s="825"/>
      <c r="J149" s="825"/>
      <c r="K149" s="825"/>
      <c r="L149" s="825"/>
      <c r="M149" s="825"/>
      <c r="N149" s="825"/>
      <c r="O149" s="825"/>
    </row>
    <row r="150" spans="1:15" ht="16.5" customHeight="1" x14ac:dyDescent="0.3">
      <c r="A150" s="825"/>
      <c r="B150" s="825"/>
      <c r="C150" s="825"/>
      <c r="D150" s="825"/>
      <c r="E150" s="825"/>
      <c r="F150" s="825"/>
      <c r="G150" s="825"/>
      <c r="H150" s="825"/>
      <c r="I150" s="825"/>
      <c r="J150" s="825"/>
      <c r="K150" s="825"/>
      <c r="L150" s="825"/>
      <c r="M150" s="825"/>
      <c r="N150" s="825"/>
      <c r="O150" s="825"/>
    </row>
    <row r="151" spans="1:15" ht="16.5" customHeight="1" x14ac:dyDescent="0.3">
      <c r="A151" s="825"/>
      <c r="B151" s="825"/>
      <c r="C151" s="825"/>
      <c r="D151" s="825"/>
      <c r="E151" s="825"/>
      <c r="F151" s="825"/>
      <c r="G151" s="825"/>
      <c r="H151" s="825"/>
      <c r="I151" s="825"/>
      <c r="J151" s="825"/>
      <c r="K151" s="825"/>
      <c r="L151" s="825"/>
      <c r="M151" s="825"/>
      <c r="N151" s="825"/>
      <c r="O151" s="825"/>
    </row>
    <row r="152" spans="1:15" ht="16.5" customHeight="1" x14ac:dyDescent="0.3">
      <c r="A152" s="825"/>
      <c r="B152" s="825"/>
      <c r="C152" s="825"/>
      <c r="D152" s="825"/>
      <c r="E152" s="825"/>
      <c r="F152" s="825"/>
      <c r="G152" s="825"/>
      <c r="H152" s="825"/>
      <c r="I152" s="825"/>
      <c r="J152" s="825"/>
      <c r="K152" s="825"/>
      <c r="L152" s="825"/>
      <c r="M152" s="825"/>
      <c r="N152" s="825"/>
      <c r="O152" s="825"/>
    </row>
    <row r="153" spans="1:15" ht="16.5" customHeight="1" x14ac:dyDescent="0.3">
      <c r="A153" s="825"/>
      <c r="B153" s="825"/>
      <c r="C153" s="825"/>
      <c r="D153" s="825"/>
      <c r="E153" s="825"/>
      <c r="F153" s="825"/>
      <c r="G153" s="825"/>
      <c r="H153" s="825"/>
      <c r="I153" s="825"/>
      <c r="J153" s="825"/>
      <c r="K153" s="825"/>
      <c r="L153" s="825"/>
      <c r="M153" s="825"/>
      <c r="N153" s="825"/>
      <c r="O153" s="825"/>
    </row>
    <row r="154" spans="1:15" ht="16.5" customHeight="1" x14ac:dyDescent="0.3">
      <c r="A154" s="825"/>
      <c r="B154" s="825"/>
      <c r="C154" s="825"/>
      <c r="D154" s="825"/>
      <c r="E154" s="825"/>
      <c r="F154" s="825"/>
      <c r="G154" s="825"/>
      <c r="H154" s="825"/>
      <c r="I154" s="825"/>
      <c r="J154" s="825"/>
      <c r="K154" s="825"/>
      <c r="L154" s="825"/>
      <c r="M154" s="825"/>
      <c r="N154" s="825"/>
      <c r="O154" s="825"/>
    </row>
    <row r="155" spans="1:15" ht="16.5" customHeight="1" x14ac:dyDescent="0.3">
      <c r="A155" s="825"/>
      <c r="B155" s="825"/>
      <c r="C155" s="825"/>
      <c r="D155" s="825"/>
      <c r="E155" s="825"/>
      <c r="F155" s="825"/>
      <c r="G155" s="825"/>
      <c r="H155" s="825"/>
      <c r="I155" s="825"/>
      <c r="J155" s="825"/>
      <c r="K155" s="825"/>
      <c r="L155" s="825"/>
      <c r="M155" s="825"/>
      <c r="N155" s="825"/>
      <c r="O155" s="825"/>
    </row>
    <row r="156" spans="1:15" ht="16.5" customHeight="1" x14ac:dyDescent="0.3">
      <c r="A156" s="825"/>
      <c r="B156" s="825"/>
      <c r="C156" s="825"/>
      <c r="D156" s="825"/>
      <c r="E156" s="825"/>
      <c r="F156" s="825"/>
      <c r="G156" s="825"/>
      <c r="H156" s="825"/>
      <c r="I156" s="825"/>
      <c r="J156" s="825"/>
      <c r="K156" s="825"/>
      <c r="L156" s="825"/>
      <c r="M156" s="825"/>
      <c r="N156" s="825"/>
      <c r="O156" s="825"/>
    </row>
    <row r="157" spans="1:15" ht="16.5" customHeight="1" x14ac:dyDescent="0.3">
      <c r="A157" s="825"/>
      <c r="B157" s="825"/>
      <c r="C157" s="825"/>
      <c r="D157" s="825"/>
      <c r="E157" s="825"/>
      <c r="F157" s="825"/>
      <c r="G157" s="825"/>
      <c r="H157" s="825"/>
      <c r="I157" s="825"/>
      <c r="J157" s="825"/>
      <c r="K157" s="825"/>
      <c r="L157" s="825"/>
      <c r="M157" s="825"/>
      <c r="N157" s="825"/>
      <c r="O157" s="825"/>
    </row>
    <row r="158" spans="1:15" ht="16.5" customHeight="1" x14ac:dyDescent="0.3">
      <c r="A158" s="825"/>
      <c r="B158" s="825"/>
      <c r="C158" s="825"/>
      <c r="D158" s="825"/>
      <c r="E158" s="825"/>
      <c r="F158" s="825"/>
      <c r="G158" s="825"/>
      <c r="H158" s="825"/>
      <c r="I158" s="825"/>
      <c r="J158" s="825"/>
      <c r="K158" s="825"/>
      <c r="L158" s="825"/>
      <c r="M158" s="825"/>
      <c r="N158" s="825"/>
      <c r="O158" s="825"/>
    </row>
    <row r="159" spans="1:15" ht="16.5" customHeight="1" x14ac:dyDescent="0.3">
      <c r="A159" s="825"/>
      <c r="B159" s="825"/>
      <c r="C159" s="825"/>
      <c r="D159" s="825"/>
      <c r="E159" s="825"/>
      <c r="F159" s="825"/>
      <c r="G159" s="825"/>
      <c r="H159" s="825"/>
      <c r="I159" s="825"/>
      <c r="J159" s="825"/>
      <c r="K159" s="825"/>
      <c r="L159" s="825"/>
      <c r="M159" s="825"/>
      <c r="N159" s="825"/>
      <c r="O159" s="825"/>
    </row>
    <row r="160" spans="1:15" ht="16.5" customHeight="1" x14ac:dyDescent="0.3">
      <c r="A160" s="825"/>
      <c r="B160" s="825"/>
      <c r="C160" s="825"/>
      <c r="D160" s="825"/>
      <c r="E160" s="825"/>
      <c r="F160" s="825"/>
      <c r="G160" s="825"/>
      <c r="H160" s="825"/>
      <c r="I160" s="825"/>
      <c r="J160" s="825"/>
      <c r="K160" s="825"/>
      <c r="L160" s="825"/>
      <c r="M160" s="825"/>
      <c r="N160" s="825"/>
      <c r="O160" s="825"/>
    </row>
    <row r="161" spans="1:15" ht="16.5" customHeight="1" x14ac:dyDescent="0.3">
      <c r="A161" s="825"/>
      <c r="B161" s="825"/>
      <c r="C161" s="825"/>
      <c r="D161" s="825"/>
      <c r="E161" s="825"/>
      <c r="F161" s="825"/>
      <c r="G161" s="825"/>
      <c r="H161" s="825"/>
      <c r="I161" s="825"/>
      <c r="J161" s="825"/>
      <c r="K161" s="825"/>
      <c r="L161" s="825"/>
      <c r="M161" s="825"/>
      <c r="N161" s="825"/>
      <c r="O161" s="825"/>
    </row>
    <row r="162" spans="1:15" ht="16.5" customHeight="1" x14ac:dyDescent="0.3">
      <c r="A162" s="825"/>
      <c r="B162" s="825"/>
      <c r="C162" s="825"/>
      <c r="D162" s="825"/>
      <c r="E162" s="825"/>
      <c r="F162" s="825"/>
      <c r="G162" s="825"/>
      <c r="H162" s="825"/>
      <c r="I162" s="825"/>
      <c r="J162" s="825"/>
      <c r="K162" s="825"/>
      <c r="L162" s="825"/>
      <c r="M162" s="825"/>
      <c r="N162" s="825"/>
      <c r="O162" s="825"/>
    </row>
    <row r="163" spans="1:15" ht="16.5" customHeight="1" x14ac:dyDescent="0.3">
      <c r="A163" s="825"/>
      <c r="B163" s="825"/>
      <c r="C163" s="825"/>
      <c r="D163" s="825"/>
      <c r="E163" s="825"/>
      <c r="F163" s="825"/>
      <c r="G163" s="825"/>
      <c r="H163" s="825"/>
      <c r="I163" s="825"/>
      <c r="J163" s="825"/>
      <c r="K163" s="825"/>
      <c r="L163" s="825"/>
      <c r="M163" s="825"/>
      <c r="N163" s="825"/>
      <c r="O163" s="825"/>
    </row>
    <row r="164" spans="1:15" ht="16.5" customHeight="1" x14ac:dyDescent="0.3">
      <c r="A164" s="825"/>
      <c r="B164" s="825"/>
      <c r="C164" s="825"/>
      <c r="D164" s="825"/>
      <c r="E164" s="825"/>
      <c r="F164" s="825"/>
      <c r="G164" s="825"/>
      <c r="H164" s="825"/>
      <c r="I164" s="825"/>
      <c r="J164" s="825"/>
      <c r="K164" s="825"/>
      <c r="L164" s="825"/>
      <c r="M164" s="825"/>
      <c r="N164" s="825"/>
      <c r="O164" s="825"/>
    </row>
    <row r="165" spans="1:15" ht="16.5" customHeight="1" x14ac:dyDescent="0.3">
      <c r="A165" s="825"/>
      <c r="B165" s="825"/>
      <c r="C165" s="825"/>
      <c r="D165" s="825"/>
      <c r="E165" s="825"/>
      <c r="F165" s="825"/>
      <c r="G165" s="825"/>
      <c r="H165" s="825"/>
      <c r="I165" s="825"/>
      <c r="J165" s="825"/>
      <c r="K165" s="825"/>
      <c r="L165" s="825"/>
      <c r="M165" s="825"/>
      <c r="N165" s="825"/>
      <c r="O165" s="825"/>
    </row>
    <row r="166" spans="1:15" ht="16.5" customHeight="1" x14ac:dyDescent="0.3">
      <c r="A166" s="825"/>
      <c r="B166" s="825"/>
      <c r="C166" s="825"/>
      <c r="D166" s="825"/>
      <c r="E166" s="825"/>
      <c r="F166" s="825"/>
      <c r="G166" s="825"/>
      <c r="H166" s="825"/>
      <c r="I166" s="825"/>
      <c r="J166" s="825"/>
      <c r="K166" s="825"/>
      <c r="L166" s="825"/>
      <c r="M166" s="825"/>
      <c r="N166" s="825"/>
      <c r="O166" s="825"/>
    </row>
    <row r="167" spans="1:15" ht="16.5" customHeight="1" x14ac:dyDescent="0.3">
      <c r="A167" s="825"/>
      <c r="B167" s="825"/>
      <c r="C167" s="825"/>
      <c r="D167" s="825"/>
      <c r="E167" s="825"/>
      <c r="F167" s="825"/>
      <c r="G167" s="825"/>
      <c r="H167" s="825"/>
      <c r="I167" s="825"/>
      <c r="J167" s="825"/>
      <c r="K167" s="825"/>
      <c r="L167" s="825"/>
      <c r="M167" s="825"/>
      <c r="N167" s="825"/>
      <c r="O167" s="825"/>
    </row>
    <row r="168" spans="1:15" ht="16.5" customHeight="1" x14ac:dyDescent="0.3">
      <c r="A168" s="825"/>
      <c r="B168" s="825"/>
      <c r="C168" s="825"/>
      <c r="D168" s="825"/>
      <c r="E168" s="825"/>
      <c r="F168" s="825"/>
      <c r="G168" s="825"/>
      <c r="H168" s="825"/>
      <c r="I168" s="825"/>
      <c r="J168" s="825"/>
      <c r="K168" s="825"/>
      <c r="L168" s="825"/>
      <c r="M168" s="825"/>
      <c r="N168" s="825"/>
      <c r="O168" s="825"/>
    </row>
    <row r="169" spans="1:15" ht="16.5" customHeight="1" x14ac:dyDescent="0.3">
      <c r="A169" s="825"/>
      <c r="B169" s="825"/>
      <c r="C169" s="825"/>
      <c r="D169" s="825"/>
      <c r="E169" s="825"/>
      <c r="F169" s="825"/>
      <c r="G169" s="825"/>
      <c r="H169" s="825"/>
      <c r="I169" s="825"/>
      <c r="J169" s="825"/>
      <c r="K169" s="825"/>
      <c r="L169" s="825"/>
      <c r="M169" s="825"/>
      <c r="N169" s="825"/>
      <c r="O169" s="825"/>
    </row>
    <row r="170" spans="1:15" ht="16.5" customHeight="1" x14ac:dyDescent="0.3">
      <c r="A170" s="825"/>
      <c r="B170" s="825"/>
      <c r="C170" s="825"/>
      <c r="D170" s="825"/>
      <c r="E170" s="825"/>
      <c r="F170" s="825"/>
      <c r="G170" s="825"/>
      <c r="H170" s="825"/>
      <c r="I170" s="825"/>
      <c r="J170" s="825"/>
      <c r="K170" s="825"/>
      <c r="L170" s="825"/>
      <c r="M170" s="825"/>
      <c r="N170" s="825"/>
      <c r="O170" s="825"/>
    </row>
    <row r="171" spans="1:15" ht="16.5" customHeight="1" x14ac:dyDescent="0.3">
      <c r="A171" s="825"/>
      <c r="B171" s="825"/>
      <c r="C171" s="825"/>
      <c r="D171" s="825"/>
      <c r="E171" s="825"/>
      <c r="F171" s="825"/>
      <c r="G171" s="825"/>
      <c r="H171" s="825"/>
      <c r="I171" s="825"/>
      <c r="J171" s="825"/>
      <c r="K171" s="825"/>
      <c r="L171" s="825"/>
      <c r="M171" s="825"/>
      <c r="N171" s="825"/>
      <c r="O171" s="825"/>
    </row>
    <row r="172" spans="1:15" ht="16.5" customHeight="1" x14ac:dyDescent="0.3">
      <c r="A172" s="825"/>
      <c r="B172" s="825"/>
      <c r="C172" s="825"/>
      <c r="D172" s="825"/>
      <c r="E172" s="825"/>
      <c r="F172" s="825"/>
      <c r="G172" s="825"/>
      <c r="H172" s="825"/>
      <c r="I172" s="825"/>
      <c r="J172" s="825"/>
      <c r="K172" s="825"/>
      <c r="L172" s="825"/>
      <c r="M172" s="825"/>
      <c r="N172" s="825"/>
      <c r="O172" s="825"/>
    </row>
    <row r="173" spans="1:15" ht="16.5" customHeight="1" x14ac:dyDescent="0.3">
      <c r="A173" s="825"/>
      <c r="B173" s="825"/>
      <c r="C173" s="825"/>
      <c r="D173" s="825"/>
      <c r="E173" s="825"/>
      <c r="F173" s="825"/>
      <c r="G173" s="825"/>
      <c r="H173" s="825"/>
      <c r="I173" s="825"/>
      <c r="J173" s="825"/>
      <c r="K173" s="825"/>
      <c r="L173" s="825"/>
      <c r="M173" s="825"/>
      <c r="N173" s="825"/>
      <c r="O173" s="825"/>
    </row>
    <row r="174" spans="1:15" ht="16.5" customHeight="1" x14ac:dyDescent="0.3">
      <c r="A174" s="825"/>
      <c r="B174" s="825"/>
      <c r="C174" s="825"/>
      <c r="D174" s="825"/>
      <c r="E174" s="825"/>
      <c r="F174" s="825"/>
      <c r="G174" s="825"/>
      <c r="H174" s="825"/>
      <c r="I174" s="825"/>
      <c r="J174" s="825"/>
      <c r="K174" s="825"/>
      <c r="L174" s="825"/>
      <c r="M174" s="825"/>
      <c r="N174" s="825"/>
      <c r="O174" s="825"/>
    </row>
    <row r="175" spans="1:15" ht="16.5" customHeight="1" x14ac:dyDescent="0.3">
      <c r="A175" s="825"/>
      <c r="B175" s="825"/>
      <c r="C175" s="825"/>
      <c r="D175" s="825"/>
      <c r="E175" s="825"/>
      <c r="F175" s="825"/>
      <c r="G175" s="825"/>
      <c r="H175" s="825"/>
      <c r="I175" s="825"/>
      <c r="J175" s="825"/>
      <c r="K175" s="825"/>
      <c r="L175" s="825"/>
      <c r="M175" s="825"/>
      <c r="N175" s="825"/>
      <c r="O175" s="825"/>
    </row>
    <row r="176" spans="1:15" ht="16.5" customHeight="1" x14ac:dyDescent="0.3">
      <c r="A176" s="825"/>
      <c r="B176" s="825"/>
      <c r="C176" s="825"/>
      <c r="D176" s="825"/>
      <c r="E176" s="825"/>
      <c r="F176" s="825"/>
      <c r="G176" s="825"/>
      <c r="H176" s="825"/>
      <c r="I176" s="825"/>
      <c r="J176" s="825"/>
      <c r="K176" s="825"/>
      <c r="L176" s="825"/>
      <c r="M176" s="825"/>
      <c r="N176" s="825"/>
      <c r="O176" s="825"/>
    </row>
    <row r="177" spans="1:15" ht="16.5" customHeight="1" x14ac:dyDescent="0.3">
      <c r="A177" s="825"/>
      <c r="B177" s="825"/>
      <c r="C177" s="825"/>
      <c r="D177" s="825"/>
      <c r="E177" s="825"/>
      <c r="F177" s="825"/>
      <c r="G177" s="825"/>
      <c r="H177" s="825"/>
      <c r="I177" s="825"/>
      <c r="J177" s="825"/>
      <c r="K177" s="825"/>
      <c r="L177" s="825"/>
      <c r="M177" s="825"/>
      <c r="N177" s="825"/>
      <c r="O177" s="825"/>
    </row>
    <row r="178" spans="1:15" ht="16.5" customHeight="1" x14ac:dyDescent="0.3">
      <c r="A178" s="825"/>
      <c r="B178" s="825"/>
      <c r="C178" s="825"/>
      <c r="D178" s="825"/>
      <c r="E178" s="825"/>
      <c r="F178" s="825"/>
      <c r="G178" s="825"/>
      <c r="H178" s="825"/>
      <c r="I178" s="825"/>
      <c r="J178" s="825"/>
      <c r="K178" s="825"/>
      <c r="L178" s="825"/>
      <c r="M178" s="825"/>
      <c r="N178" s="825"/>
      <c r="O178" s="825"/>
    </row>
    <row r="179" spans="1:15" ht="16.5" customHeight="1" x14ac:dyDescent="0.3">
      <c r="A179" s="825"/>
      <c r="B179" s="825"/>
      <c r="C179" s="825"/>
      <c r="D179" s="825"/>
      <c r="E179" s="825"/>
      <c r="F179" s="825"/>
      <c r="G179" s="825"/>
      <c r="H179" s="825"/>
      <c r="I179" s="825"/>
      <c r="J179" s="825"/>
      <c r="K179" s="825"/>
      <c r="L179" s="825"/>
      <c r="M179" s="825"/>
      <c r="N179" s="825"/>
      <c r="O179" s="825"/>
    </row>
    <row r="180" spans="1:15" ht="16.5" customHeight="1" x14ac:dyDescent="0.3">
      <c r="A180" s="825"/>
      <c r="B180" s="825"/>
      <c r="C180" s="825"/>
      <c r="D180" s="825"/>
      <c r="E180" s="825"/>
      <c r="F180" s="825"/>
      <c r="G180" s="825"/>
      <c r="H180" s="825"/>
      <c r="I180" s="825"/>
      <c r="J180" s="825"/>
      <c r="K180" s="825"/>
      <c r="L180" s="825"/>
      <c r="M180" s="825"/>
      <c r="N180" s="825"/>
      <c r="O180" s="825"/>
    </row>
    <row r="181" spans="1:15" ht="16.5" customHeight="1" x14ac:dyDescent="0.3">
      <c r="A181" s="825"/>
      <c r="B181" s="825"/>
      <c r="C181" s="825"/>
      <c r="D181" s="825"/>
      <c r="E181" s="825"/>
      <c r="F181" s="825"/>
      <c r="G181" s="825"/>
      <c r="H181" s="825"/>
      <c r="I181" s="825"/>
      <c r="J181" s="825"/>
      <c r="K181" s="825"/>
      <c r="L181" s="825"/>
      <c r="M181" s="825"/>
      <c r="N181" s="825"/>
      <c r="O181" s="825"/>
    </row>
    <row r="182" spans="1:15" ht="16.5" customHeight="1" x14ac:dyDescent="0.3">
      <c r="A182" s="825"/>
      <c r="B182" s="825"/>
      <c r="C182" s="825"/>
      <c r="D182" s="825"/>
      <c r="E182" s="825"/>
      <c r="F182" s="825"/>
      <c r="G182" s="825"/>
      <c r="H182" s="825"/>
      <c r="I182" s="825"/>
      <c r="J182" s="825"/>
      <c r="K182" s="825"/>
      <c r="L182" s="825"/>
      <c r="M182" s="825"/>
      <c r="N182" s="825"/>
      <c r="O182" s="825"/>
    </row>
    <row r="183" spans="1:15" ht="16.5" customHeight="1" x14ac:dyDescent="0.3">
      <c r="A183" s="825"/>
      <c r="B183" s="825"/>
      <c r="C183" s="825"/>
      <c r="D183" s="825"/>
      <c r="E183" s="825"/>
      <c r="F183" s="825"/>
      <c r="G183" s="825"/>
      <c r="H183" s="825"/>
      <c r="I183" s="825"/>
      <c r="J183" s="825"/>
      <c r="K183" s="825"/>
      <c r="L183" s="825"/>
      <c r="M183" s="825"/>
      <c r="N183" s="825"/>
      <c r="O183" s="825"/>
    </row>
    <row r="184" spans="1:15" ht="16.5" customHeight="1" x14ac:dyDescent="0.3">
      <c r="A184" s="825"/>
      <c r="B184" s="825"/>
      <c r="C184" s="825"/>
      <c r="D184" s="825"/>
      <c r="E184" s="825"/>
      <c r="F184" s="825"/>
      <c r="G184" s="825"/>
      <c r="H184" s="825"/>
      <c r="I184" s="825"/>
      <c r="J184" s="825"/>
      <c r="K184" s="825"/>
      <c r="L184" s="825"/>
      <c r="M184" s="825"/>
      <c r="N184" s="825"/>
      <c r="O184" s="825"/>
    </row>
    <row r="185" spans="1:15" ht="16.5" customHeight="1" x14ac:dyDescent="0.3">
      <c r="A185" s="825"/>
      <c r="B185" s="825"/>
      <c r="C185" s="825"/>
      <c r="D185" s="825"/>
      <c r="E185" s="825"/>
      <c r="F185" s="825"/>
      <c r="G185" s="825"/>
      <c r="H185" s="825"/>
      <c r="I185" s="825"/>
      <c r="J185" s="825"/>
      <c r="K185" s="825"/>
      <c r="L185" s="825"/>
      <c r="M185" s="825"/>
      <c r="N185" s="825"/>
      <c r="O185" s="825"/>
    </row>
    <row r="186" spans="1:15" ht="16.5" customHeight="1" x14ac:dyDescent="0.3">
      <c r="A186" s="825"/>
      <c r="B186" s="825"/>
      <c r="C186" s="825"/>
      <c r="D186" s="825"/>
      <c r="E186" s="825"/>
      <c r="F186" s="825"/>
      <c r="G186" s="825"/>
      <c r="H186" s="825"/>
      <c r="I186" s="825"/>
      <c r="J186" s="825"/>
      <c r="K186" s="825"/>
      <c r="L186" s="825"/>
      <c r="M186" s="825"/>
      <c r="N186" s="825"/>
      <c r="O186" s="825"/>
    </row>
    <row r="187" spans="1:15" ht="16.5" customHeight="1" x14ac:dyDescent="0.3">
      <c r="A187" s="825"/>
      <c r="B187" s="825"/>
      <c r="C187" s="825"/>
      <c r="D187" s="825"/>
      <c r="E187" s="825"/>
      <c r="F187" s="825"/>
      <c r="G187" s="825"/>
      <c r="H187" s="825"/>
      <c r="I187" s="825"/>
      <c r="J187" s="825"/>
      <c r="K187" s="825"/>
      <c r="L187" s="825"/>
      <c r="M187" s="825"/>
      <c r="N187" s="825"/>
      <c r="O187" s="825"/>
    </row>
    <row r="188" spans="1:15" ht="16.5" customHeight="1" x14ac:dyDescent="0.3">
      <c r="A188" s="825"/>
      <c r="B188" s="825"/>
      <c r="C188" s="825"/>
      <c r="D188" s="825"/>
      <c r="E188" s="825"/>
      <c r="F188" s="825"/>
      <c r="G188" s="825"/>
      <c r="H188" s="825"/>
      <c r="I188" s="825"/>
      <c r="J188" s="825"/>
      <c r="K188" s="825"/>
      <c r="L188" s="825"/>
      <c r="M188" s="825"/>
      <c r="N188" s="825"/>
      <c r="O188" s="825"/>
    </row>
    <row r="189" spans="1:15" ht="16.5" customHeight="1" x14ac:dyDescent="0.3">
      <c r="A189" s="825"/>
      <c r="B189" s="825"/>
      <c r="C189" s="825"/>
      <c r="D189" s="825"/>
      <c r="E189" s="825"/>
      <c r="F189" s="825"/>
      <c r="G189" s="825"/>
      <c r="H189" s="825"/>
      <c r="I189" s="825"/>
      <c r="J189" s="825"/>
      <c r="K189" s="825"/>
      <c r="L189" s="825"/>
      <c r="M189" s="825"/>
      <c r="N189" s="825"/>
      <c r="O189" s="825"/>
    </row>
    <row r="190" spans="1:15" ht="16.5" customHeight="1" x14ac:dyDescent="0.3">
      <c r="A190" s="825"/>
      <c r="B190" s="825"/>
      <c r="C190" s="825"/>
      <c r="D190" s="825"/>
      <c r="E190" s="825"/>
      <c r="F190" s="825"/>
      <c r="G190" s="825"/>
      <c r="H190" s="825"/>
      <c r="I190" s="825"/>
      <c r="J190" s="825"/>
      <c r="K190" s="825"/>
      <c r="L190" s="825"/>
      <c r="M190" s="825"/>
      <c r="N190" s="825"/>
      <c r="O190" s="825"/>
    </row>
    <row r="191" spans="1:15" ht="16.5" customHeight="1" x14ac:dyDescent="0.3">
      <c r="A191" s="825"/>
      <c r="B191" s="825"/>
      <c r="C191" s="825"/>
      <c r="D191" s="825"/>
      <c r="E191" s="825"/>
      <c r="F191" s="825"/>
      <c r="G191" s="825"/>
      <c r="H191" s="825"/>
      <c r="I191" s="825"/>
      <c r="J191" s="825"/>
      <c r="K191" s="825"/>
      <c r="L191" s="825"/>
      <c r="M191" s="825"/>
      <c r="N191" s="825"/>
      <c r="O191" s="825"/>
    </row>
    <row r="192" spans="1:15" ht="16.5" customHeight="1" x14ac:dyDescent="0.3">
      <c r="A192" s="825"/>
      <c r="B192" s="825"/>
      <c r="C192" s="825"/>
      <c r="D192" s="825"/>
      <c r="E192" s="825"/>
      <c r="F192" s="825"/>
      <c r="G192" s="825"/>
      <c r="H192" s="825"/>
      <c r="I192" s="825"/>
      <c r="J192" s="825"/>
      <c r="K192" s="825"/>
      <c r="L192" s="825"/>
      <c r="M192" s="825"/>
      <c r="N192" s="825"/>
      <c r="O192" s="825"/>
    </row>
    <row r="193" spans="1:15" ht="16.5" customHeight="1" x14ac:dyDescent="0.3">
      <c r="A193" s="825"/>
      <c r="B193" s="825"/>
      <c r="C193" s="825"/>
      <c r="D193" s="825"/>
      <c r="E193" s="825"/>
      <c r="F193" s="825"/>
      <c r="G193" s="825"/>
      <c r="H193" s="825"/>
      <c r="I193" s="825"/>
      <c r="J193" s="825"/>
      <c r="K193" s="825"/>
      <c r="L193" s="825"/>
      <c r="M193" s="825"/>
      <c r="N193" s="825"/>
      <c r="O193" s="825"/>
    </row>
    <row r="194" spans="1:15" ht="16.5" customHeight="1" x14ac:dyDescent="0.3">
      <c r="A194" s="825"/>
      <c r="B194" s="825"/>
      <c r="C194" s="825"/>
      <c r="D194" s="825"/>
      <c r="E194" s="825"/>
      <c r="F194" s="825"/>
      <c r="G194" s="825"/>
      <c r="H194" s="825"/>
      <c r="I194" s="825"/>
      <c r="J194" s="825"/>
      <c r="K194" s="825"/>
      <c r="L194" s="825"/>
      <c r="M194" s="825"/>
      <c r="N194" s="825"/>
      <c r="O194" s="825"/>
    </row>
    <row r="195" spans="1:15" ht="16.5" customHeight="1" x14ac:dyDescent="0.3">
      <c r="A195" s="825"/>
      <c r="B195" s="825"/>
      <c r="C195" s="825"/>
      <c r="D195" s="825"/>
      <c r="E195" s="825"/>
      <c r="F195" s="825"/>
      <c r="G195" s="825"/>
      <c r="H195" s="825"/>
      <c r="I195" s="825"/>
      <c r="J195" s="825"/>
      <c r="K195" s="825"/>
      <c r="L195" s="825"/>
      <c r="M195" s="825"/>
      <c r="N195" s="825"/>
      <c r="O195" s="825"/>
    </row>
    <row r="196" spans="1:15" ht="16.5" customHeight="1" x14ac:dyDescent="0.3">
      <c r="A196" s="825"/>
      <c r="B196" s="825"/>
      <c r="C196" s="825"/>
      <c r="D196" s="825"/>
      <c r="E196" s="825"/>
      <c r="F196" s="825"/>
      <c r="G196" s="825"/>
      <c r="H196" s="825"/>
      <c r="I196" s="825"/>
      <c r="J196" s="825"/>
      <c r="K196" s="825"/>
      <c r="L196" s="825"/>
      <c r="M196" s="825"/>
      <c r="N196" s="825"/>
      <c r="O196" s="825"/>
    </row>
    <row r="197" spans="1:15" ht="16.5" customHeight="1" x14ac:dyDescent="0.3">
      <c r="A197" s="825"/>
      <c r="B197" s="825"/>
      <c r="C197" s="825"/>
      <c r="D197" s="825"/>
      <c r="E197" s="825"/>
      <c r="F197" s="825"/>
      <c r="G197" s="825"/>
      <c r="H197" s="825"/>
      <c r="I197" s="825"/>
      <c r="J197" s="825"/>
      <c r="K197" s="825"/>
      <c r="L197" s="825"/>
      <c r="M197" s="825"/>
      <c r="N197" s="825"/>
      <c r="O197" s="825"/>
    </row>
    <row r="198" spans="1:15" ht="16.5" customHeight="1" x14ac:dyDescent="0.3">
      <c r="A198" s="825"/>
      <c r="B198" s="825"/>
      <c r="C198" s="825"/>
      <c r="D198" s="825"/>
      <c r="E198" s="825"/>
      <c r="F198" s="825"/>
      <c r="G198" s="825"/>
      <c r="H198" s="825"/>
      <c r="I198" s="825"/>
      <c r="J198" s="825"/>
      <c r="K198" s="825"/>
      <c r="L198" s="825"/>
      <c r="M198" s="825"/>
      <c r="N198" s="825"/>
      <c r="O198" s="825"/>
    </row>
    <row r="199" spans="1:15" ht="16.5" customHeight="1" x14ac:dyDescent="0.3">
      <c r="A199" s="825"/>
      <c r="B199" s="825"/>
      <c r="C199" s="825"/>
      <c r="D199" s="825"/>
      <c r="E199" s="825"/>
      <c r="F199" s="825"/>
      <c r="G199" s="825"/>
      <c r="H199" s="825"/>
      <c r="I199" s="825"/>
      <c r="J199" s="825"/>
      <c r="K199" s="825"/>
      <c r="L199" s="825"/>
      <c r="M199" s="825"/>
      <c r="N199" s="825"/>
      <c r="O199" s="825"/>
    </row>
    <row r="200" spans="1:15" ht="16.5" customHeight="1" x14ac:dyDescent="0.3">
      <c r="A200" s="825"/>
      <c r="B200" s="825"/>
      <c r="C200" s="825"/>
      <c r="D200" s="825"/>
      <c r="E200" s="825"/>
      <c r="F200" s="825"/>
      <c r="G200" s="825"/>
      <c r="H200" s="825"/>
      <c r="I200" s="825"/>
      <c r="J200" s="825"/>
      <c r="K200" s="825"/>
      <c r="L200" s="825"/>
      <c r="M200" s="825"/>
      <c r="N200" s="825"/>
      <c r="O200" s="825"/>
    </row>
    <row r="201" spans="1:15" ht="16.5" customHeight="1" x14ac:dyDescent="0.3">
      <c r="A201" s="825"/>
      <c r="B201" s="825"/>
      <c r="C201" s="825"/>
      <c r="D201" s="825"/>
      <c r="E201" s="825"/>
      <c r="F201" s="825"/>
      <c r="G201" s="825"/>
      <c r="H201" s="825"/>
      <c r="I201" s="825"/>
      <c r="J201" s="825"/>
      <c r="K201" s="825"/>
      <c r="L201" s="825"/>
      <c r="M201" s="825"/>
      <c r="N201" s="825"/>
      <c r="O201" s="825"/>
    </row>
    <row r="202" spans="1:15" ht="16.5" customHeight="1" x14ac:dyDescent="0.3">
      <c r="A202" s="825"/>
      <c r="B202" s="825"/>
      <c r="C202" s="825"/>
      <c r="D202" s="825"/>
      <c r="E202" s="825"/>
      <c r="F202" s="825"/>
      <c r="G202" s="825"/>
      <c r="H202" s="825"/>
      <c r="I202" s="825"/>
      <c r="J202" s="825"/>
      <c r="K202" s="825"/>
      <c r="L202" s="825"/>
      <c r="M202" s="825"/>
      <c r="N202" s="825"/>
      <c r="O202" s="825"/>
    </row>
    <row r="203" spans="1:15" ht="16.5" customHeight="1" x14ac:dyDescent="0.3">
      <c r="A203" s="825"/>
      <c r="B203" s="825"/>
      <c r="C203" s="825"/>
      <c r="D203" s="825"/>
      <c r="E203" s="825"/>
      <c r="F203" s="825"/>
      <c r="G203" s="825"/>
      <c r="H203" s="825"/>
      <c r="I203" s="825"/>
      <c r="J203" s="825"/>
      <c r="K203" s="825"/>
      <c r="L203" s="825"/>
      <c r="M203" s="825"/>
      <c r="N203" s="825"/>
      <c r="O203" s="825"/>
    </row>
    <row r="204" spans="1:15" ht="16.5" customHeight="1" x14ac:dyDescent="0.3">
      <c r="A204" s="825"/>
      <c r="B204" s="825"/>
      <c r="C204" s="825"/>
      <c r="D204" s="825"/>
      <c r="E204" s="825"/>
      <c r="F204" s="825"/>
      <c r="G204" s="825"/>
      <c r="H204" s="825"/>
      <c r="I204" s="825"/>
      <c r="J204" s="825"/>
      <c r="K204" s="825"/>
      <c r="L204" s="825"/>
      <c r="M204" s="825"/>
      <c r="N204" s="825"/>
      <c r="O204" s="825"/>
    </row>
    <row r="205" spans="1:15" ht="16.5" customHeight="1" x14ac:dyDescent="0.3">
      <c r="A205" s="825"/>
      <c r="B205" s="825"/>
      <c r="C205" s="825"/>
      <c r="D205" s="825"/>
      <c r="E205" s="825"/>
      <c r="F205" s="825"/>
      <c r="G205" s="825"/>
      <c r="H205" s="825"/>
      <c r="I205" s="825"/>
      <c r="J205" s="825"/>
      <c r="K205" s="825"/>
      <c r="L205" s="825"/>
      <c r="M205" s="825"/>
      <c r="N205" s="825"/>
      <c r="O205" s="825"/>
    </row>
    <row r="206" spans="1:15" ht="16.5" customHeight="1" x14ac:dyDescent="0.3">
      <c r="A206" s="825"/>
      <c r="B206" s="825"/>
      <c r="C206" s="825"/>
      <c r="D206" s="825"/>
      <c r="E206" s="825"/>
      <c r="F206" s="825"/>
      <c r="G206" s="825"/>
      <c r="H206" s="825"/>
      <c r="I206" s="825"/>
      <c r="J206" s="825"/>
      <c r="K206" s="825"/>
      <c r="L206" s="825"/>
      <c r="M206" s="825"/>
      <c r="N206" s="825"/>
      <c r="O206" s="825"/>
    </row>
    <row r="207" spans="1:15" ht="16.5" customHeight="1" x14ac:dyDescent="0.3">
      <c r="A207" s="825"/>
      <c r="B207" s="825"/>
      <c r="C207" s="825"/>
      <c r="D207" s="825"/>
      <c r="E207" s="825"/>
      <c r="F207" s="825"/>
      <c r="G207" s="825"/>
      <c r="H207" s="825"/>
      <c r="I207" s="825"/>
      <c r="J207" s="825"/>
      <c r="K207" s="825"/>
      <c r="L207" s="825"/>
      <c r="M207" s="825"/>
      <c r="N207" s="825"/>
      <c r="O207" s="825"/>
    </row>
    <row r="208" spans="1:15" ht="16.5" customHeight="1" x14ac:dyDescent="0.3">
      <c r="A208" s="825"/>
      <c r="B208" s="825"/>
      <c r="C208" s="825"/>
      <c r="D208" s="825"/>
      <c r="E208" s="825"/>
      <c r="F208" s="825"/>
      <c r="G208" s="825"/>
      <c r="H208" s="825"/>
      <c r="I208" s="825"/>
      <c r="J208" s="825"/>
      <c r="K208" s="825"/>
      <c r="L208" s="825"/>
      <c r="M208" s="825"/>
      <c r="N208" s="825"/>
      <c r="O208" s="825"/>
    </row>
    <row r="209" spans="1:15" ht="16.5" customHeight="1" x14ac:dyDescent="0.3">
      <c r="A209" s="825"/>
      <c r="B209" s="825"/>
      <c r="C209" s="825"/>
      <c r="D209" s="825"/>
      <c r="E209" s="825"/>
      <c r="F209" s="825"/>
      <c r="G209" s="825"/>
      <c r="H209" s="825"/>
      <c r="I209" s="825"/>
      <c r="J209" s="825"/>
      <c r="K209" s="825"/>
      <c r="L209" s="825"/>
      <c r="M209" s="825"/>
      <c r="N209" s="825"/>
      <c r="O209" s="825"/>
    </row>
    <row r="210" spans="1:15" ht="16.5" customHeight="1" x14ac:dyDescent="0.3">
      <c r="A210" s="825"/>
      <c r="B210" s="825"/>
      <c r="C210" s="825"/>
      <c r="D210" s="825"/>
      <c r="E210" s="825"/>
      <c r="F210" s="825"/>
      <c r="G210" s="825"/>
      <c r="H210" s="825"/>
      <c r="I210" s="825"/>
      <c r="J210" s="825"/>
      <c r="K210" s="825"/>
      <c r="L210" s="825"/>
      <c r="M210" s="825"/>
      <c r="N210" s="825"/>
      <c r="O210" s="825"/>
    </row>
    <row r="211" spans="1:15" ht="16.5" customHeight="1" x14ac:dyDescent="0.3">
      <c r="A211" s="825"/>
      <c r="B211" s="825"/>
      <c r="C211" s="825"/>
      <c r="D211" s="825"/>
      <c r="E211" s="825"/>
      <c r="F211" s="825"/>
      <c r="G211" s="825"/>
      <c r="H211" s="825"/>
      <c r="I211" s="825"/>
      <c r="J211" s="825"/>
      <c r="K211" s="825"/>
      <c r="L211" s="825"/>
      <c r="M211" s="825"/>
      <c r="N211" s="825"/>
      <c r="O211" s="825"/>
    </row>
    <row r="212" spans="1:15" ht="16.5" customHeight="1" x14ac:dyDescent="0.3">
      <c r="A212" s="825"/>
      <c r="B212" s="825"/>
      <c r="C212" s="825"/>
      <c r="D212" s="825"/>
      <c r="E212" s="825"/>
      <c r="F212" s="825"/>
      <c r="G212" s="825"/>
      <c r="H212" s="825"/>
      <c r="I212" s="825"/>
      <c r="J212" s="825"/>
      <c r="K212" s="825"/>
      <c r="L212" s="825"/>
      <c r="M212" s="825"/>
      <c r="N212" s="825"/>
      <c r="O212" s="825"/>
    </row>
    <row r="213" spans="1:15" ht="16.5" customHeight="1" x14ac:dyDescent="0.3">
      <c r="A213" s="825"/>
      <c r="B213" s="825"/>
      <c r="C213" s="825"/>
      <c r="D213" s="825"/>
      <c r="E213" s="825"/>
      <c r="F213" s="825"/>
      <c r="G213" s="825"/>
      <c r="H213" s="825"/>
      <c r="I213" s="825"/>
      <c r="J213" s="825"/>
      <c r="K213" s="825"/>
      <c r="L213" s="825"/>
      <c r="M213" s="825"/>
      <c r="N213" s="825"/>
      <c r="O213" s="825"/>
    </row>
    <row r="214" spans="1:15" ht="16.5" customHeight="1" x14ac:dyDescent="0.3">
      <c r="A214" s="825"/>
      <c r="B214" s="825"/>
      <c r="C214" s="825"/>
      <c r="D214" s="825"/>
      <c r="E214" s="825"/>
      <c r="F214" s="825"/>
      <c r="G214" s="825"/>
      <c r="H214" s="825"/>
      <c r="I214" s="825"/>
      <c r="J214" s="825"/>
      <c r="K214" s="825"/>
      <c r="L214" s="825"/>
      <c r="M214" s="825"/>
      <c r="N214" s="825"/>
      <c r="O214" s="825"/>
    </row>
    <row r="215" spans="1:15" ht="16.5" customHeight="1" x14ac:dyDescent="0.3">
      <c r="A215" s="825"/>
      <c r="B215" s="825"/>
      <c r="C215" s="825"/>
      <c r="D215" s="825"/>
      <c r="E215" s="825"/>
      <c r="F215" s="825"/>
      <c r="G215" s="825"/>
      <c r="H215" s="825"/>
      <c r="I215" s="825"/>
      <c r="J215" s="825"/>
      <c r="K215" s="825"/>
      <c r="L215" s="825"/>
      <c r="M215" s="825"/>
      <c r="N215" s="825"/>
      <c r="O215" s="825"/>
    </row>
    <row r="216" spans="1:15" ht="16.5" customHeight="1" x14ac:dyDescent="0.3">
      <c r="A216" s="825"/>
      <c r="B216" s="825"/>
      <c r="C216" s="825"/>
      <c r="D216" s="825"/>
      <c r="E216" s="825"/>
      <c r="F216" s="825"/>
      <c r="G216" s="825"/>
      <c r="H216" s="825"/>
      <c r="I216" s="825"/>
      <c r="J216" s="825"/>
      <c r="K216" s="825"/>
      <c r="L216" s="825"/>
      <c r="M216" s="825"/>
      <c r="N216" s="825"/>
      <c r="O216" s="825"/>
    </row>
    <row r="217" spans="1:15" ht="16.5" customHeight="1" x14ac:dyDescent="0.3">
      <c r="A217" s="825"/>
      <c r="B217" s="825"/>
      <c r="C217" s="825"/>
      <c r="D217" s="825"/>
      <c r="E217" s="825"/>
      <c r="F217" s="825"/>
      <c r="G217" s="825"/>
      <c r="H217" s="825"/>
      <c r="I217" s="825"/>
      <c r="J217" s="825"/>
      <c r="K217" s="825"/>
      <c r="L217" s="825"/>
      <c r="M217" s="825"/>
      <c r="N217" s="825"/>
      <c r="O217" s="825"/>
    </row>
    <row r="218" spans="1:15" ht="16.5" customHeight="1" x14ac:dyDescent="0.3">
      <c r="A218" s="825"/>
      <c r="B218" s="825"/>
      <c r="C218" s="825"/>
      <c r="D218" s="825"/>
      <c r="E218" s="825"/>
      <c r="F218" s="825"/>
      <c r="G218" s="825"/>
      <c r="H218" s="825"/>
      <c r="I218" s="825"/>
      <c r="J218" s="825"/>
      <c r="K218" s="825"/>
      <c r="L218" s="825"/>
      <c r="M218" s="825"/>
      <c r="N218" s="825"/>
      <c r="O218" s="825"/>
    </row>
    <row r="219" spans="1:15" ht="16.5" customHeight="1" x14ac:dyDescent="0.3">
      <c r="A219" s="825"/>
      <c r="B219" s="825"/>
      <c r="C219" s="825"/>
      <c r="D219" s="825"/>
      <c r="E219" s="825"/>
      <c r="F219" s="825"/>
      <c r="G219" s="825"/>
      <c r="H219" s="825"/>
      <c r="I219" s="825"/>
      <c r="J219" s="825"/>
      <c r="K219" s="825"/>
      <c r="L219" s="825"/>
      <c r="M219" s="825"/>
      <c r="N219" s="825"/>
      <c r="O219" s="825"/>
    </row>
    <row r="220" spans="1:15" ht="16.5" customHeight="1" x14ac:dyDescent="0.3">
      <c r="A220" s="825"/>
      <c r="B220" s="825"/>
      <c r="C220" s="825"/>
      <c r="D220" s="825"/>
      <c r="E220" s="825"/>
      <c r="F220" s="825"/>
      <c r="G220" s="825"/>
      <c r="H220" s="825"/>
      <c r="I220" s="825"/>
      <c r="J220" s="825"/>
      <c r="K220" s="825"/>
      <c r="L220" s="825"/>
      <c r="M220" s="825"/>
      <c r="N220" s="825"/>
      <c r="O220" s="825"/>
    </row>
    <row r="221" spans="1:15" ht="16.5" customHeight="1" x14ac:dyDescent="0.3">
      <c r="A221" s="825"/>
      <c r="B221" s="825"/>
      <c r="C221" s="825"/>
      <c r="D221" s="825"/>
      <c r="E221" s="825"/>
      <c r="F221" s="825"/>
      <c r="G221" s="825"/>
      <c r="H221" s="825"/>
      <c r="I221" s="825"/>
      <c r="J221" s="825"/>
      <c r="K221" s="825"/>
      <c r="L221" s="825"/>
      <c r="M221" s="825"/>
      <c r="N221" s="825"/>
      <c r="O221" s="825"/>
    </row>
    <row r="222" spans="1:15" ht="16.5" customHeight="1" x14ac:dyDescent="0.3">
      <c r="A222" s="825"/>
      <c r="B222" s="825"/>
      <c r="C222" s="825"/>
      <c r="D222" s="825"/>
      <c r="E222" s="825"/>
      <c r="F222" s="825"/>
      <c r="G222" s="825"/>
      <c r="H222" s="825"/>
      <c r="I222" s="825"/>
      <c r="J222" s="825"/>
      <c r="K222" s="825"/>
      <c r="L222" s="825"/>
      <c r="M222" s="825"/>
      <c r="N222" s="825"/>
      <c r="O222" s="825"/>
    </row>
    <row r="223" spans="1:15" ht="16.5" customHeight="1" x14ac:dyDescent="0.3">
      <c r="A223" s="825"/>
      <c r="B223" s="825"/>
      <c r="C223" s="825"/>
      <c r="D223" s="825"/>
      <c r="E223" s="825"/>
      <c r="F223" s="825"/>
      <c r="G223" s="825"/>
      <c r="H223" s="825"/>
      <c r="I223" s="825"/>
      <c r="J223" s="825"/>
      <c r="K223" s="825"/>
      <c r="L223" s="825"/>
      <c r="M223" s="825"/>
      <c r="N223" s="825"/>
      <c r="O223" s="825"/>
    </row>
    <row r="224" spans="1:15" ht="16.5" customHeight="1" x14ac:dyDescent="0.3">
      <c r="A224" s="825"/>
      <c r="B224" s="825"/>
      <c r="C224" s="825"/>
      <c r="D224" s="825"/>
      <c r="E224" s="825"/>
      <c r="F224" s="825"/>
      <c r="G224" s="825"/>
      <c r="H224" s="825"/>
      <c r="I224" s="825"/>
      <c r="J224" s="825"/>
      <c r="K224" s="825"/>
      <c r="L224" s="825"/>
      <c r="M224" s="825"/>
      <c r="N224" s="825"/>
      <c r="O224" s="825"/>
    </row>
    <row r="225" spans="1:15" ht="16.5" customHeight="1" x14ac:dyDescent="0.3">
      <c r="A225" s="825"/>
      <c r="B225" s="825"/>
      <c r="C225" s="825"/>
      <c r="D225" s="825"/>
      <c r="E225" s="825"/>
      <c r="F225" s="825"/>
      <c r="G225" s="825"/>
      <c r="H225" s="825"/>
      <c r="I225" s="825"/>
      <c r="J225" s="825"/>
      <c r="K225" s="825"/>
      <c r="L225" s="825"/>
      <c r="M225" s="825"/>
      <c r="N225" s="825"/>
      <c r="O225" s="825"/>
    </row>
    <row r="226" spans="1:15" ht="16.5" customHeight="1" x14ac:dyDescent="0.3">
      <c r="A226" s="825"/>
      <c r="B226" s="825"/>
      <c r="C226" s="825"/>
      <c r="D226" s="825"/>
      <c r="E226" s="825"/>
      <c r="F226" s="825"/>
      <c r="G226" s="825"/>
      <c r="H226" s="825"/>
      <c r="I226" s="825"/>
      <c r="J226" s="825"/>
      <c r="K226" s="825"/>
      <c r="L226" s="825"/>
      <c r="M226" s="825"/>
      <c r="N226" s="825"/>
      <c r="O226" s="825"/>
    </row>
    <row r="227" spans="1:15" ht="16.5" customHeight="1" x14ac:dyDescent="0.3">
      <c r="A227" s="825"/>
      <c r="B227" s="825"/>
      <c r="C227" s="825"/>
      <c r="D227" s="825"/>
      <c r="E227" s="825"/>
      <c r="F227" s="825"/>
      <c r="G227" s="825"/>
      <c r="H227" s="825"/>
      <c r="I227" s="825"/>
      <c r="J227" s="825"/>
      <c r="K227" s="825"/>
      <c r="L227" s="825"/>
      <c r="M227" s="825"/>
      <c r="N227" s="825"/>
      <c r="O227" s="825"/>
    </row>
    <row r="228" spans="1:15" ht="16.5" customHeight="1" x14ac:dyDescent="0.3">
      <c r="A228" s="825"/>
      <c r="B228" s="825"/>
      <c r="C228" s="825"/>
      <c r="D228" s="825"/>
      <c r="E228" s="825"/>
      <c r="F228" s="825"/>
      <c r="G228" s="825"/>
      <c r="H228" s="825"/>
      <c r="I228" s="825"/>
      <c r="J228" s="825"/>
      <c r="K228" s="825"/>
      <c r="L228" s="825"/>
      <c r="M228" s="825"/>
      <c r="N228" s="825"/>
      <c r="O228" s="825"/>
    </row>
    <row r="229" spans="1:15" ht="16.5" customHeight="1" x14ac:dyDescent="0.3">
      <c r="A229" s="825"/>
      <c r="B229" s="825"/>
      <c r="C229" s="825"/>
      <c r="D229" s="825"/>
      <c r="E229" s="825"/>
      <c r="F229" s="825"/>
      <c r="G229" s="825"/>
      <c r="H229" s="825"/>
      <c r="I229" s="825"/>
      <c r="J229" s="825"/>
      <c r="K229" s="825"/>
      <c r="L229" s="825"/>
      <c r="M229" s="825"/>
      <c r="N229" s="825"/>
      <c r="O229" s="825"/>
    </row>
    <row r="230" spans="1:15" ht="16.5" customHeight="1" x14ac:dyDescent="0.3">
      <c r="A230" s="825"/>
      <c r="B230" s="825"/>
      <c r="C230" s="825"/>
      <c r="D230" s="825"/>
      <c r="E230" s="825"/>
      <c r="F230" s="825"/>
      <c r="G230" s="825"/>
      <c r="H230" s="825"/>
      <c r="I230" s="825"/>
      <c r="J230" s="825"/>
      <c r="K230" s="825"/>
      <c r="L230" s="825"/>
      <c r="M230" s="825"/>
      <c r="N230" s="825"/>
      <c r="O230" s="825"/>
    </row>
    <row r="231" spans="1:15" ht="16.5" customHeight="1" x14ac:dyDescent="0.3">
      <c r="A231" s="825"/>
      <c r="B231" s="825"/>
      <c r="C231" s="825"/>
      <c r="D231" s="825"/>
      <c r="E231" s="825"/>
      <c r="F231" s="825"/>
      <c r="G231" s="825"/>
      <c r="H231" s="825"/>
      <c r="I231" s="825"/>
      <c r="J231" s="825"/>
      <c r="K231" s="825"/>
      <c r="L231" s="825"/>
      <c r="M231" s="825"/>
      <c r="N231" s="825"/>
      <c r="O231" s="825"/>
    </row>
    <row r="232" spans="1:15" ht="16.5" customHeight="1" x14ac:dyDescent="0.3">
      <c r="A232" s="825"/>
      <c r="B232" s="825"/>
      <c r="C232" s="825"/>
      <c r="D232" s="825"/>
      <c r="E232" s="825"/>
      <c r="F232" s="825"/>
      <c r="G232" s="825"/>
      <c r="H232" s="825"/>
      <c r="I232" s="825"/>
      <c r="J232" s="825"/>
      <c r="K232" s="825"/>
      <c r="L232" s="825"/>
      <c r="M232" s="825"/>
      <c r="N232" s="825"/>
      <c r="O232" s="825"/>
    </row>
    <row r="233" spans="1:15" ht="16.5" customHeight="1" x14ac:dyDescent="0.3">
      <c r="A233" s="825"/>
      <c r="B233" s="825"/>
      <c r="C233" s="825"/>
      <c r="D233" s="825"/>
      <c r="E233" s="825"/>
      <c r="F233" s="825"/>
      <c r="G233" s="825"/>
      <c r="H233" s="825"/>
      <c r="I233" s="825"/>
      <c r="J233" s="825"/>
      <c r="K233" s="825"/>
      <c r="L233" s="825"/>
      <c r="M233" s="825"/>
      <c r="N233" s="825"/>
      <c r="O233" s="825"/>
    </row>
    <row r="234" spans="1:15" ht="16.5" customHeight="1" x14ac:dyDescent="0.3">
      <c r="A234" s="825"/>
      <c r="B234" s="825"/>
      <c r="C234" s="825"/>
      <c r="D234" s="825"/>
      <c r="E234" s="825"/>
      <c r="F234" s="825"/>
      <c r="G234" s="825"/>
      <c r="H234" s="825"/>
      <c r="I234" s="825"/>
      <c r="J234" s="825"/>
      <c r="K234" s="825"/>
      <c r="L234" s="825"/>
      <c r="M234" s="825"/>
      <c r="N234" s="825"/>
      <c r="O234" s="825"/>
    </row>
    <row r="235" spans="1:15" ht="16.5" customHeight="1" x14ac:dyDescent="0.3">
      <c r="A235" s="825"/>
      <c r="B235" s="825"/>
      <c r="C235" s="825"/>
      <c r="D235" s="825"/>
      <c r="E235" s="825"/>
      <c r="F235" s="825"/>
      <c r="G235" s="825"/>
      <c r="H235" s="825"/>
      <c r="I235" s="825"/>
      <c r="J235" s="825"/>
      <c r="K235" s="825"/>
      <c r="L235" s="825"/>
      <c r="M235" s="825"/>
      <c r="N235" s="825"/>
      <c r="O235" s="825"/>
    </row>
    <row r="236" spans="1:15" ht="16.5" customHeight="1" x14ac:dyDescent="0.3">
      <c r="A236" s="825"/>
      <c r="B236" s="825"/>
      <c r="C236" s="825"/>
      <c r="D236" s="825"/>
      <c r="E236" s="825"/>
      <c r="F236" s="825"/>
      <c r="G236" s="825"/>
      <c r="H236" s="825"/>
      <c r="I236" s="825"/>
      <c r="J236" s="825"/>
      <c r="K236" s="825"/>
      <c r="L236" s="825"/>
      <c r="M236" s="825"/>
      <c r="N236" s="825"/>
      <c r="O236" s="825"/>
    </row>
    <row r="237" spans="1:15" ht="16.5" customHeight="1" x14ac:dyDescent="0.3">
      <c r="A237" s="825"/>
      <c r="B237" s="825"/>
      <c r="C237" s="825"/>
      <c r="D237" s="825"/>
      <c r="E237" s="825"/>
      <c r="F237" s="825"/>
      <c r="G237" s="825"/>
      <c r="H237" s="825"/>
      <c r="I237" s="825"/>
      <c r="J237" s="825"/>
      <c r="K237" s="825"/>
      <c r="L237" s="825"/>
      <c r="M237" s="825"/>
      <c r="N237" s="825"/>
      <c r="O237" s="825"/>
    </row>
    <row r="238" spans="1:15" ht="16.5" customHeight="1" x14ac:dyDescent="0.3">
      <c r="A238" s="825"/>
      <c r="B238" s="825"/>
      <c r="C238" s="825"/>
      <c r="D238" s="825"/>
      <c r="E238" s="825"/>
      <c r="F238" s="825"/>
      <c r="G238" s="825"/>
      <c r="H238" s="825"/>
      <c r="I238" s="825"/>
      <c r="J238" s="825"/>
      <c r="K238" s="825"/>
      <c r="L238" s="825"/>
      <c r="M238" s="825"/>
      <c r="N238" s="825"/>
      <c r="O238" s="825"/>
    </row>
    <row r="239" spans="1:15" ht="16.5" customHeight="1" x14ac:dyDescent="0.3">
      <c r="A239" s="825"/>
      <c r="B239" s="825"/>
      <c r="C239" s="825"/>
      <c r="D239" s="825"/>
      <c r="E239" s="825"/>
      <c r="F239" s="825"/>
      <c r="G239" s="825"/>
      <c r="H239" s="825"/>
      <c r="I239" s="825"/>
      <c r="J239" s="825"/>
      <c r="K239" s="825"/>
      <c r="L239" s="825"/>
      <c r="M239" s="825"/>
      <c r="N239" s="825"/>
      <c r="O239" s="825"/>
    </row>
    <row r="240" spans="1:15" ht="16.5" customHeight="1" x14ac:dyDescent="0.3">
      <c r="A240" s="825"/>
      <c r="B240" s="825"/>
      <c r="C240" s="825"/>
      <c r="D240" s="825"/>
      <c r="E240" s="825"/>
      <c r="F240" s="825"/>
      <c r="G240" s="825"/>
      <c r="H240" s="825"/>
      <c r="I240" s="825"/>
      <c r="J240" s="825"/>
      <c r="K240" s="825"/>
      <c r="L240" s="825"/>
      <c r="M240" s="825"/>
      <c r="N240" s="825"/>
      <c r="O240" s="825"/>
    </row>
    <row r="241" spans="1:15" ht="16.5" customHeight="1" x14ac:dyDescent="0.3">
      <c r="A241" s="825"/>
      <c r="B241" s="825"/>
      <c r="C241" s="825"/>
      <c r="D241" s="825"/>
      <c r="E241" s="825"/>
      <c r="F241" s="825"/>
      <c r="G241" s="825"/>
      <c r="H241" s="825"/>
      <c r="I241" s="825"/>
      <c r="J241" s="825"/>
      <c r="K241" s="825"/>
      <c r="L241" s="825"/>
      <c r="M241" s="825"/>
      <c r="N241" s="825"/>
      <c r="O241" s="825"/>
    </row>
    <row r="242" spans="1:15" ht="16.5" customHeight="1" x14ac:dyDescent="0.3">
      <c r="A242" s="825"/>
      <c r="B242" s="825"/>
      <c r="C242" s="825"/>
      <c r="D242" s="825"/>
      <c r="E242" s="825"/>
      <c r="F242" s="825"/>
      <c r="G242" s="825"/>
      <c r="H242" s="825"/>
      <c r="I242" s="825"/>
      <c r="J242" s="825"/>
      <c r="K242" s="825"/>
      <c r="L242" s="825"/>
      <c r="M242" s="825"/>
      <c r="N242" s="825"/>
      <c r="O242" s="825"/>
    </row>
    <row r="243" spans="1:15" ht="16.5" customHeight="1" x14ac:dyDescent="0.3">
      <c r="A243" s="825"/>
      <c r="B243" s="825"/>
      <c r="C243" s="825"/>
      <c r="D243" s="825"/>
      <c r="E243" s="825"/>
      <c r="F243" s="825"/>
      <c r="G243" s="825"/>
      <c r="H243" s="825"/>
      <c r="I243" s="825"/>
      <c r="J243" s="825"/>
      <c r="K243" s="825"/>
      <c r="L243" s="825"/>
      <c r="M243" s="825"/>
      <c r="N243" s="825"/>
      <c r="O243" s="825"/>
    </row>
    <row r="244" spans="1:15" ht="16.5" customHeight="1" x14ac:dyDescent="0.3">
      <c r="A244" s="825"/>
      <c r="B244" s="825"/>
      <c r="C244" s="825"/>
      <c r="D244" s="825"/>
      <c r="E244" s="825"/>
      <c r="F244" s="825"/>
      <c r="G244" s="825"/>
      <c r="H244" s="825"/>
      <c r="I244" s="825"/>
      <c r="J244" s="825"/>
      <c r="K244" s="825"/>
      <c r="L244" s="825"/>
      <c r="M244" s="825"/>
      <c r="N244" s="825"/>
      <c r="O244" s="825"/>
    </row>
    <row r="245" spans="1:15" ht="16.5" customHeight="1" x14ac:dyDescent="0.3">
      <c r="A245" s="825"/>
      <c r="B245" s="825"/>
      <c r="C245" s="825"/>
      <c r="D245" s="825"/>
      <c r="E245" s="825"/>
      <c r="F245" s="825"/>
      <c r="G245" s="825"/>
      <c r="H245" s="825"/>
      <c r="I245" s="825"/>
      <c r="J245" s="825"/>
      <c r="K245" s="825"/>
      <c r="L245" s="825"/>
      <c r="M245" s="825"/>
      <c r="N245" s="825"/>
      <c r="O245" s="825"/>
    </row>
    <row r="246" spans="1:15" ht="16.5" customHeight="1" x14ac:dyDescent="0.3">
      <c r="A246" s="825"/>
      <c r="B246" s="825"/>
      <c r="C246" s="825"/>
      <c r="D246" s="825"/>
      <c r="E246" s="825"/>
      <c r="F246" s="825"/>
      <c r="G246" s="825"/>
      <c r="H246" s="825"/>
      <c r="I246" s="825"/>
      <c r="J246" s="825"/>
      <c r="K246" s="825"/>
      <c r="L246" s="825"/>
      <c r="M246" s="825"/>
      <c r="N246" s="825"/>
      <c r="O246" s="825"/>
    </row>
    <row r="247" spans="1:15" ht="16.5" customHeight="1" x14ac:dyDescent="0.3">
      <c r="A247" s="825"/>
      <c r="B247" s="825"/>
      <c r="C247" s="825"/>
      <c r="D247" s="825"/>
      <c r="E247" s="825"/>
      <c r="F247" s="825"/>
      <c r="G247" s="825"/>
      <c r="H247" s="825"/>
      <c r="I247" s="825"/>
      <c r="J247" s="825"/>
      <c r="K247" s="825"/>
      <c r="L247" s="825"/>
      <c r="M247" s="825"/>
      <c r="N247" s="825"/>
      <c r="O247" s="825"/>
    </row>
    <row r="248" spans="1:15" ht="16.5" customHeight="1" x14ac:dyDescent="0.3">
      <c r="A248" s="825"/>
      <c r="B248" s="825"/>
      <c r="C248" s="825"/>
      <c r="D248" s="825"/>
      <c r="E248" s="825"/>
      <c r="F248" s="825"/>
      <c r="G248" s="825"/>
      <c r="H248" s="825"/>
      <c r="I248" s="825"/>
      <c r="J248" s="825"/>
      <c r="K248" s="825"/>
      <c r="L248" s="825"/>
      <c r="M248" s="825"/>
      <c r="N248" s="825"/>
      <c r="O248" s="825"/>
    </row>
    <row r="249" spans="1:15" ht="16.5" customHeight="1" x14ac:dyDescent="0.3">
      <c r="A249" s="825"/>
      <c r="B249" s="825"/>
      <c r="C249" s="825"/>
      <c r="D249" s="825"/>
      <c r="E249" s="825"/>
      <c r="F249" s="825"/>
      <c r="G249" s="825"/>
      <c r="H249" s="825"/>
      <c r="I249" s="825"/>
      <c r="J249" s="825"/>
      <c r="K249" s="825"/>
      <c r="L249" s="825"/>
      <c r="M249" s="825"/>
      <c r="N249" s="825"/>
      <c r="O249" s="825"/>
    </row>
    <row r="250" spans="1:15" ht="16.5" customHeight="1" x14ac:dyDescent="0.3">
      <c r="A250" s="825"/>
      <c r="B250" s="825"/>
      <c r="C250" s="825"/>
      <c r="D250" s="825"/>
      <c r="E250" s="825"/>
      <c r="F250" s="825"/>
      <c r="G250" s="825"/>
      <c r="H250" s="825"/>
      <c r="I250" s="825"/>
      <c r="J250" s="825"/>
      <c r="K250" s="825"/>
      <c r="L250" s="825"/>
      <c r="M250" s="825"/>
      <c r="N250" s="825"/>
      <c r="O250" s="825"/>
    </row>
    <row r="251" spans="1:15" ht="16.5" customHeight="1" x14ac:dyDescent="0.3">
      <c r="A251" s="825"/>
      <c r="B251" s="825"/>
      <c r="C251" s="825"/>
      <c r="D251" s="825"/>
      <c r="E251" s="825"/>
      <c r="F251" s="825"/>
      <c r="G251" s="825"/>
      <c r="H251" s="825"/>
      <c r="I251" s="825"/>
      <c r="J251" s="825"/>
      <c r="K251" s="825"/>
      <c r="L251" s="825"/>
      <c r="M251" s="825"/>
      <c r="N251" s="825"/>
      <c r="O251" s="825"/>
    </row>
    <row r="252" spans="1:15" ht="16.5" customHeight="1" x14ac:dyDescent="0.3">
      <c r="A252" s="825"/>
      <c r="B252" s="825"/>
      <c r="C252" s="825"/>
      <c r="D252" s="825"/>
      <c r="E252" s="825"/>
      <c r="F252" s="825"/>
      <c r="G252" s="825"/>
      <c r="H252" s="825"/>
      <c r="I252" s="825"/>
      <c r="J252" s="825"/>
      <c r="K252" s="825"/>
      <c r="L252" s="825"/>
      <c r="M252" s="825"/>
      <c r="N252" s="825"/>
      <c r="O252" s="825"/>
    </row>
    <row r="253" spans="1:15" ht="16.5" customHeight="1" x14ac:dyDescent="0.3">
      <c r="A253" s="825"/>
      <c r="B253" s="825"/>
      <c r="C253" s="825"/>
      <c r="D253" s="825"/>
      <c r="E253" s="825"/>
      <c r="F253" s="825"/>
      <c r="G253" s="825"/>
      <c r="H253" s="825"/>
      <c r="I253" s="825"/>
      <c r="J253" s="825"/>
      <c r="K253" s="825"/>
      <c r="L253" s="825"/>
      <c r="M253" s="825"/>
      <c r="N253" s="825"/>
      <c r="O253" s="825"/>
    </row>
    <row r="254" spans="1:15" ht="16.5" customHeight="1" x14ac:dyDescent="0.3">
      <c r="A254" s="825"/>
      <c r="B254" s="825"/>
      <c r="C254" s="825"/>
      <c r="D254" s="825"/>
      <c r="E254" s="825"/>
      <c r="F254" s="825"/>
      <c r="G254" s="825"/>
      <c r="H254" s="825"/>
      <c r="I254" s="825"/>
      <c r="J254" s="825"/>
      <c r="K254" s="825"/>
      <c r="L254" s="825"/>
      <c r="M254" s="825"/>
      <c r="N254" s="825"/>
      <c r="O254" s="825"/>
    </row>
    <row r="255" spans="1:15" ht="16.5" customHeight="1" x14ac:dyDescent="0.3">
      <c r="A255" s="825"/>
      <c r="B255" s="825"/>
      <c r="C255" s="825"/>
      <c r="D255" s="825"/>
      <c r="E255" s="825"/>
      <c r="F255" s="825"/>
      <c r="G255" s="825"/>
      <c r="H255" s="825"/>
      <c r="I255" s="825"/>
      <c r="J255" s="825"/>
      <c r="K255" s="825"/>
      <c r="L255" s="825"/>
      <c r="M255" s="825"/>
      <c r="N255" s="825"/>
      <c r="O255" s="825"/>
    </row>
    <row r="256" spans="1:15" ht="16.5" customHeight="1" x14ac:dyDescent="0.3">
      <c r="A256" s="825"/>
      <c r="B256" s="825"/>
      <c r="C256" s="825"/>
      <c r="D256" s="825"/>
      <c r="E256" s="825"/>
      <c r="F256" s="825"/>
      <c r="G256" s="825"/>
      <c r="H256" s="825"/>
      <c r="I256" s="825"/>
      <c r="J256" s="825"/>
      <c r="K256" s="825"/>
      <c r="L256" s="825"/>
      <c r="M256" s="825"/>
      <c r="N256" s="825"/>
      <c r="O256" s="825"/>
    </row>
    <row r="257" spans="1:15" ht="16.5" customHeight="1" x14ac:dyDescent="0.3">
      <c r="A257" s="825"/>
      <c r="B257" s="825"/>
      <c r="C257" s="825"/>
      <c r="D257" s="825"/>
      <c r="E257" s="825"/>
      <c r="F257" s="825"/>
      <c r="G257" s="825"/>
      <c r="H257" s="825"/>
      <c r="I257" s="825"/>
      <c r="J257" s="825"/>
      <c r="K257" s="825"/>
      <c r="L257" s="825"/>
      <c r="M257" s="825"/>
      <c r="N257" s="825"/>
      <c r="O257" s="825"/>
    </row>
    <row r="258" spans="1:15" ht="16.5" customHeight="1" x14ac:dyDescent="0.3">
      <c r="A258" s="825"/>
      <c r="B258" s="825"/>
      <c r="C258" s="825"/>
      <c r="D258" s="825"/>
      <c r="E258" s="825"/>
      <c r="F258" s="825"/>
      <c r="G258" s="825"/>
      <c r="H258" s="825"/>
      <c r="I258" s="825"/>
      <c r="J258" s="825"/>
      <c r="K258" s="825"/>
      <c r="L258" s="825"/>
      <c r="M258" s="825"/>
      <c r="N258" s="825"/>
      <c r="O258" s="825"/>
    </row>
    <row r="259" spans="1:15" ht="16.5" customHeight="1" x14ac:dyDescent="0.3">
      <c r="A259" s="825"/>
      <c r="B259" s="825"/>
      <c r="C259" s="825"/>
      <c r="D259" s="825"/>
      <c r="E259" s="825"/>
      <c r="F259" s="825"/>
      <c r="G259" s="825"/>
      <c r="H259" s="825"/>
      <c r="I259" s="825"/>
      <c r="J259" s="825"/>
      <c r="K259" s="825"/>
      <c r="L259" s="825"/>
      <c r="M259" s="825"/>
      <c r="N259" s="825"/>
      <c r="O259" s="825"/>
    </row>
    <row r="260" spans="1:15" ht="16.5" customHeight="1" x14ac:dyDescent="0.3">
      <c r="A260" s="825"/>
      <c r="B260" s="825"/>
      <c r="C260" s="825"/>
      <c r="D260" s="825"/>
      <c r="E260" s="825"/>
      <c r="F260" s="825"/>
      <c r="G260" s="825"/>
      <c r="H260" s="825"/>
      <c r="I260" s="825"/>
      <c r="J260" s="825"/>
      <c r="K260" s="825"/>
      <c r="L260" s="825"/>
      <c r="M260" s="825"/>
      <c r="N260" s="825"/>
      <c r="O260" s="825"/>
    </row>
    <row r="261" spans="1:15" ht="16.5" customHeight="1" x14ac:dyDescent="0.3">
      <c r="A261" s="825"/>
      <c r="B261" s="825"/>
      <c r="C261" s="825"/>
      <c r="D261" s="825"/>
      <c r="E261" s="825"/>
      <c r="F261" s="825"/>
      <c r="G261" s="825"/>
      <c r="H261" s="825"/>
      <c r="I261" s="825"/>
      <c r="J261" s="825"/>
      <c r="K261" s="825"/>
      <c r="L261" s="825"/>
      <c r="M261" s="825"/>
      <c r="N261" s="825"/>
      <c r="O261" s="825"/>
    </row>
    <row r="262" spans="1:15" ht="16.5" customHeight="1" x14ac:dyDescent="0.3">
      <c r="A262" s="825"/>
      <c r="B262" s="825"/>
      <c r="C262" s="825"/>
      <c r="D262" s="825"/>
      <c r="E262" s="825"/>
      <c r="F262" s="825"/>
      <c r="G262" s="825"/>
      <c r="H262" s="825"/>
      <c r="I262" s="825"/>
      <c r="J262" s="825"/>
      <c r="K262" s="825"/>
      <c r="L262" s="825"/>
      <c r="M262" s="825"/>
      <c r="N262" s="825"/>
      <c r="O262" s="825"/>
    </row>
    <row r="263" spans="1:15" ht="16.5" customHeight="1" x14ac:dyDescent="0.3">
      <c r="A263" s="825"/>
      <c r="B263" s="825"/>
      <c r="C263" s="825"/>
      <c r="D263" s="825"/>
      <c r="E263" s="825"/>
      <c r="F263" s="825"/>
      <c r="G263" s="825"/>
      <c r="H263" s="825"/>
      <c r="I263" s="825"/>
      <c r="J263" s="825"/>
      <c r="K263" s="825"/>
      <c r="L263" s="825"/>
      <c r="M263" s="825"/>
      <c r="N263" s="825"/>
      <c r="O263" s="825"/>
    </row>
    <row r="264" spans="1:15" ht="16.5" customHeight="1" x14ac:dyDescent="0.3">
      <c r="A264" s="825"/>
      <c r="B264" s="825"/>
      <c r="C264" s="825"/>
      <c r="D264" s="825"/>
      <c r="E264" s="825"/>
      <c r="F264" s="825"/>
      <c r="G264" s="825"/>
      <c r="H264" s="825"/>
      <c r="I264" s="825"/>
      <c r="J264" s="825"/>
      <c r="K264" s="825"/>
      <c r="L264" s="825"/>
      <c r="M264" s="825"/>
      <c r="N264" s="825"/>
      <c r="O264" s="825"/>
    </row>
    <row r="265" spans="1:15" ht="16.5" customHeight="1" x14ac:dyDescent="0.3">
      <c r="A265" s="825"/>
      <c r="B265" s="825"/>
      <c r="C265" s="825"/>
      <c r="D265" s="825"/>
      <c r="E265" s="825"/>
      <c r="F265" s="825"/>
      <c r="G265" s="825"/>
      <c r="H265" s="825"/>
      <c r="I265" s="825"/>
      <c r="J265" s="825"/>
      <c r="K265" s="825"/>
      <c r="L265" s="825"/>
      <c r="M265" s="825"/>
      <c r="N265" s="825"/>
      <c r="O265" s="825"/>
    </row>
    <row r="266" spans="1:15" ht="16.5" customHeight="1" x14ac:dyDescent="0.3">
      <c r="A266" s="825"/>
      <c r="B266" s="825"/>
      <c r="C266" s="825"/>
      <c r="D266" s="825"/>
      <c r="E266" s="825"/>
      <c r="F266" s="825"/>
      <c r="G266" s="825"/>
      <c r="H266" s="825"/>
      <c r="I266" s="825"/>
      <c r="J266" s="825"/>
      <c r="K266" s="825"/>
      <c r="L266" s="825"/>
      <c r="M266" s="825"/>
      <c r="N266" s="825"/>
      <c r="O266" s="825"/>
    </row>
    <row r="267" spans="1:15" ht="16.5" customHeight="1" x14ac:dyDescent="0.3">
      <c r="A267" s="825"/>
      <c r="B267" s="825"/>
      <c r="C267" s="825"/>
      <c r="D267" s="825"/>
      <c r="E267" s="825"/>
      <c r="F267" s="825"/>
      <c r="G267" s="825"/>
      <c r="H267" s="825"/>
      <c r="I267" s="825"/>
      <c r="J267" s="825"/>
      <c r="K267" s="825"/>
      <c r="L267" s="825"/>
      <c r="M267" s="825"/>
      <c r="N267" s="825"/>
      <c r="O267" s="825"/>
    </row>
    <row r="268" spans="1:15" ht="16.5" customHeight="1" x14ac:dyDescent="0.3">
      <c r="A268" s="825"/>
      <c r="B268" s="825"/>
      <c r="C268" s="825"/>
      <c r="D268" s="825"/>
      <c r="E268" s="825"/>
      <c r="F268" s="825"/>
      <c r="G268" s="825"/>
      <c r="H268" s="825"/>
      <c r="I268" s="825"/>
      <c r="J268" s="825"/>
      <c r="K268" s="825"/>
      <c r="L268" s="825"/>
      <c r="M268" s="825"/>
      <c r="N268" s="825"/>
      <c r="O268" s="825"/>
    </row>
    <row r="269" spans="1:15" ht="16.5" customHeight="1" x14ac:dyDescent="0.3">
      <c r="A269" s="825"/>
      <c r="B269" s="825"/>
      <c r="C269" s="825"/>
      <c r="D269" s="825"/>
      <c r="E269" s="825"/>
      <c r="F269" s="825"/>
      <c r="G269" s="825"/>
      <c r="H269" s="825"/>
      <c r="I269" s="825"/>
      <c r="J269" s="825"/>
      <c r="K269" s="825"/>
      <c r="L269" s="825"/>
      <c r="M269" s="825"/>
      <c r="N269" s="825"/>
      <c r="O269" s="825"/>
    </row>
    <row r="270" spans="1:15" ht="16.5" customHeight="1" x14ac:dyDescent="0.3">
      <c r="A270" s="825"/>
      <c r="B270" s="825"/>
      <c r="C270" s="825"/>
      <c r="D270" s="825"/>
      <c r="E270" s="825"/>
      <c r="F270" s="825"/>
      <c r="G270" s="825"/>
      <c r="H270" s="825"/>
      <c r="I270" s="825"/>
      <c r="J270" s="825"/>
      <c r="K270" s="825"/>
      <c r="L270" s="825"/>
      <c r="M270" s="825"/>
      <c r="N270" s="825"/>
      <c r="O270" s="825"/>
    </row>
    <row r="271" spans="1:15" ht="16.5" customHeight="1" x14ac:dyDescent="0.3">
      <c r="A271" s="825"/>
      <c r="B271" s="825"/>
      <c r="C271" s="825"/>
      <c r="D271" s="825"/>
      <c r="E271" s="825"/>
      <c r="F271" s="825"/>
      <c r="G271" s="825"/>
      <c r="H271" s="825"/>
      <c r="I271" s="825"/>
      <c r="J271" s="825"/>
      <c r="K271" s="825"/>
      <c r="L271" s="825"/>
      <c r="M271" s="825"/>
      <c r="N271" s="825"/>
      <c r="O271" s="825"/>
    </row>
    <row r="272" spans="1:15" ht="16.5" customHeight="1" x14ac:dyDescent="0.3">
      <c r="A272" s="825"/>
      <c r="B272" s="825"/>
      <c r="C272" s="825"/>
      <c r="D272" s="825"/>
      <c r="E272" s="825"/>
      <c r="F272" s="825"/>
      <c r="G272" s="825"/>
      <c r="H272" s="825"/>
      <c r="I272" s="825"/>
      <c r="J272" s="825"/>
      <c r="K272" s="825"/>
      <c r="L272" s="825"/>
      <c r="M272" s="825"/>
      <c r="N272" s="825"/>
      <c r="O272" s="825"/>
    </row>
    <row r="273" spans="1:15" ht="16.5" customHeight="1" x14ac:dyDescent="0.3">
      <c r="A273" s="825"/>
      <c r="B273" s="825"/>
      <c r="C273" s="825"/>
      <c r="D273" s="825"/>
      <c r="E273" s="825"/>
      <c r="F273" s="825"/>
      <c r="G273" s="825"/>
      <c r="H273" s="825"/>
      <c r="I273" s="825"/>
      <c r="J273" s="825"/>
      <c r="K273" s="825"/>
      <c r="L273" s="825"/>
      <c r="M273" s="825"/>
      <c r="N273" s="825"/>
      <c r="O273" s="825"/>
    </row>
    <row r="274" spans="1:15" ht="16.5" customHeight="1" x14ac:dyDescent="0.3">
      <c r="A274" s="825"/>
      <c r="B274" s="825"/>
      <c r="C274" s="825"/>
      <c r="D274" s="825"/>
      <c r="E274" s="825"/>
      <c r="F274" s="825"/>
      <c r="G274" s="825"/>
      <c r="H274" s="825"/>
      <c r="I274" s="825"/>
      <c r="J274" s="825"/>
      <c r="K274" s="825"/>
      <c r="L274" s="825"/>
      <c r="M274" s="825"/>
      <c r="N274" s="825"/>
      <c r="O274" s="825"/>
    </row>
    <row r="275" spans="1:15" ht="16.5" customHeight="1" x14ac:dyDescent="0.3">
      <c r="A275" s="825"/>
      <c r="B275" s="825"/>
      <c r="C275" s="825"/>
      <c r="D275" s="825"/>
      <c r="E275" s="825"/>
      <c r="F275" s="825"/>
      <c r="G275" s="825"/>
      <c r="H275" s="825"/>
      <c r="I275" s="825"/>
      <c r="J275" s="825"/>
      <c r="K275" s="825"/>
      <c r="L275" s="825"/>
      <c r="M275" s="825"/>
      <c r="N275" s="825"/>
      <c r="O275" s="825"/>
    </row>
    <row r="276" spans="1:15" ht="16.5" customHeight="1" x14ac:dyDescent="0.3">
      <c r="A276" s="825"/>
      <c r="B276" s="825"/>
      <c r="C276" s="825"/>
      <c r="D276" s="825"/>
      <c r="E276" s="825"/>
      <c r="F276" s="825"/>
      <c r="G276" s="825"/>
      <c r="H276" s="825"/>
      <c r="I276" s="825"/>
      <c r="J276" s="825"/>
      <c r="K276" s="825"/>
      <c r="L276" s="825"/>
      <c r="M276" s="825"/>
      <c r="N276" s="825"/>
      <c r="O276" s="825"/>
    </row>
    <row r="277" spans="1:15" ht="16.5" customHeight="1" x14ac:dyDescent="0.3">
      <c r="A277" s="825"/>
      <c r="B277" s="825"/>
      <c r="C277" s="825"/>
      <c r="D277" s="825"/>
      <c r="E277" s="825"/>
      <c r="F277" s="825"/>
      <c r="G277" s="825"/>
      <c r="H277" s="825"/>
      <c r="I277" s="825"/>
      <c r="J277" s="825"/>
      <c r="K277" s="825"/>
      <c r="L277" s="825"/>
      <c r="M277" s="825"/>
      <c r="N277" s="825"/>
      <c r="O277" s="825"/>
    </row>
    <row r="278" spans="1:15" ht="16.5" customHeight="1" x14ac:dyDescent="0.3">
      <c r="A278" s="825"/>
      <c r="B278" s="825"/>
      <c r="C278" s="825"/>
      <c r="D278" s="825"/>
      <c r="E278" s="825"/>
      <c r="F278" s="825"/>
      <c r="G278" s="825"/>
      <c r="H278" s="825"/>
      <c r="I278" s="825"/>
      <c r="J278" s="825"/>
      <c r="K278" s="825"/>
      <c r="L278" s="825"/>
      <c r="M278" s="825"/>
      <c r="N278" s="825"/>
      <c r="O278" s="825"/>
    </row>
    <row r="279" spans="1:15" ht="16.5" customHeight="1" x14ac:dyDescent="0.3">
      <c r="A279" s="825"/>
      <c r="B279" s="825"/>
      <c r="C279" s="825"/>
      <c r="D279" s="825"/>
      <c r="E279" s="825"/>
      <c r="F279" s="825"/>
      <c r="G279" s="825"/>
      <c r="H279" s="825"/>
      <c r="I279" s="825"/>
      <c r="J279" s="825"/>
      <c r="K279" s="825"/>
      <c r="L279" s="825"/>
      <c r="M279" s="825"/>
      <c r="N279" s="825"/>
      <c r="O279" s="825"/>
    </row>
    <row r="280" spans="1:15" ht="16.5" customHeight="1" x14ac:dyDescent="0.3">
      <c r="A280" s="825"/>
      <c r="B280" s="825"/>
      <c r="C280" s="825"/>
      <c r="D280" s="825"/>
      <c r="E280" s="825"/>
      <c r="F280" s="825"/>
      <c r="G280" s="825"/>
      <c r="H280" s="825"/>
      <c r="I280" s="825"/>
      <c r="J280" s="825"/>
      <c r="K280" s="825"/>
      <c r="L280" s="825"/>
      <c r="M280" s="825"/>
      <c r="N280" s="825"/>
      <c r="O280" s="825"/>
    </row>
    <row r="281" spans="1:15" ht="16.5" customHeight="1" x14ac:dyDescent="0.3">
      <c r="A281" s="825"/>
      <c r="B281" s="825"/>
      <c r="C281" s="825"/>
      <c r="D281" s="825"/>
      <c r="E281" s="825"/>
      <c r="F281" s="825"/>
      <c r="G281" s="825"/>
      <c r="H281" s="825"/>
      <c r="I281" s="825"/>
      <c r="J281" s="825"/>
      <c r="K281" s="825"/>
      <c r="L281" s="825"/>
      <c r="M281" s="825"/>
      <c r="N281" s="825"/>
      <c r="O281" s="825"/>
    </row>
    <row r="282" spans="1:15" ht="16.5" customHeight="1" x14ac:dyDescent="0.3">
      <c r="A282" s="825"/>
      <c r="B282" s="825"/>
      <c r="C282" s="825"/>
      <c r="D282" s="825"/>
      <c r="E282" s="825"/>
      <c r="F282" s="825"/>
      <c r="G282" s="825"/>
      <c r="H282" s="825"/>
      <c r="I282" s="825"/>
      <c r="J282" s="825"/>
      <c r="K282" s="825"/>
      <c r="L282" s="825"/>
      <c r="M282" s="825"/>
      <c r="N282" s="825"/>
      <c r="O282" s="825"/>
    </row>
    <row r="283" spans="1:15" ht="16.5" customHeight="1" x14ac:dyDescent="0.3">
      <c r="A283" s="825"/>
      <c r="B283" s="825"/>
      <c r="C283" s="825"/>
      <c r="D283" s="825"/>
      <c r="E283" s="825"/>
      <c r="F283" s="825"/>
      <c r="G283" s="825"/>
      <c r="H283" s="825"/>
      <c r="I283" s="825"/>
      <c r="J283" s="825"/>
      <c r="K283" s="825"/>
      <c r="L283" s="825"/>
      <c r="M283" s="825"/>
      <c r="N283" s="825"/>
      <c r="O283" s="825"/>
    </row>
    <row r="284" spans="1:15" ht="16.5" customHeight="1" x14ac:dyDescent="0.3">
      <c r="A284" s="825"/>
      <c r="B284" s="825"/>
      <c r="C284" s="825"/>
      <c r="D284" s="825"/>
      <c r="E284" s="825"/>
      <c r="F284" s="825"/>
      <c r="G284" s="825"/>
      <c r="H284" s="825"/>
      <c r="I284" s="825"/>
      <c r="J284" s="825"/>
      <c r="K284" s="825"/>
      <c r="L284" s="825"/>
      <c r="M284" s="825"/>
      <c r="N284" s="825"/>
      <c r="O284" s="825"/>
    </row>
    <row r="285" spans="1:15" ht="16.5" customHeight="1" x14ac:dyDescent="0.3">
      <c r="A285" s="825"/>
      <c r="B285" s="825"/>
      <c r="C285" s="825"/>
      <c r="D285" s="825"/>
      <c r="E285" s="825"/>
      <c r="F285" s="825"/>
      <c r="G285" s="825"/>
      <c r="H285" s="825"/>
      <c r="I285" s="825"/>
      <c r="J285" s="825"/>
      <c r="K285" s="825"/>
      <c r="L285" s="825"/>
      <c r="M285" s="825"/>
      <c r="N285" s="825"/>
      <c r="O285" s="825"/>
    </row>
    <row r="286" spans="1:15" ht="16.5" customHeight="1" x14ac:dyDescent="0.3">
      <c r="A286" s="825"/>
      <c r="B286" s="825"/>
      <c r="C286" s="825"/>
      <c r="D286" s="825"/>
      <c r="E286" s="825"/>
      <c r="F286" s="825"/>
      <c r="G286" s="825"/>
      <c r="H286" s="825"/>
      <c r="I286" s="825"/>
      <c r="J286" s="825"/>
      <c r="K286" s="825"/>
      <c r="L286" s="825"/>
      <c r="M286" s="825"/>
      <c r="N286" s="825"/>
      <c r="O286" s="825"/>
    </row>
    <row r="287" spans="1:15" ht="16.5" customHeight="1" x14ac:dyDescent="0.3">
      <c r="A287" s="825"/>
      <c r="B287" s="825"/>
      <c r="C287" s="825"/>
      <c r="D287" s="825"/>
      <c r="E287" s="825"/>
      <c r="F287" s="825"/>
      <c r="G287" s="825"/>
      <c r="H287" s="825"/>
      <c r="I287" s="825"/>
      <c r="J287" s="825"/>
      <c r="K287" s="825"/>
      <c r="L287" s="825"/>
      <c r="M287" s="825"/>
      <c r="N287" s="825"/>
      <c r="O287" s="825"/>
    </row>
    <row r="288" spans="1:15" ht="16.5" customHeight="1" x14ac:dyDescent="0.3">
      <c r="A288" s="825"/>
      <c r="B288" s="825"/>
      <c r="C288" s="825"/>
      <c r="D288" s="825"/>
      <c r="E288" s="825"/>
      <c r="F288" s="825"/>
      <c r="G288" s="825"/>
      <c r="H288" s="825"/>
      <c r="I288" s="825"/>
      <c r="J288" s="825"/>
      <c r="K288" s="825"/>
      <c r="L288" s="825"/>
      <c r="M288" s="825"/>
      <c r="N288" s="825"/>
      <c r="O288" s="825"/>
    </row>
    <row r="289" spans="1:15" ht="16.5" customHeight="1" x14ac:dyDescent="0.3">
      <c r="A289" s="825"/>
      <c r="B289" s="825"/>
      <c r="C289" s="825"/>
      <c r="D289" s="825"/>
      <c r="E289" s="825"/>
      <c r="F289" s="825"/>
      <c r="G289" s="825"/>
      <c r="H289" s="825"/>
      <c r="I289" s="825"/>
      <c r="J289" s="825"/>
      <c r="K289" s="825"/>
      <c r="L289" s="825"/>
      <c r="M289" s="825"/>
      <c r="N289" s="825"/>
      <c r="O289" s="825"/>
    </row>
    <row r="290" spans="1:15" ht="16.5" customHeight="1" x14ac:dyDescent="0.3">
      <c r="A290" s="825"/>
      <c r="B290" s="825"/>
      <c r="C290" s="825"/>
      <c r="D290" s="825"/>
      <c r="E290" s="825"/>
      <c r="F290" s="825"/>
      <c r="G290" s="825"/>
      <c r="H290" s="825"/>
      <c r="I290" s="825"/>
      <c r="J290" s="825"/>
      <c r="K290" s="825"/>
      <c r="L290" s="825"/>
      <c r="M290" s="825"/>
      <c r="N290" s="825"/>
      <c r="O290" s="825"/>
    </row>
    <row r="291" spans="1:15" ht="16.5" customHeight="1" x14ac:dyDescent="0.3">
      <c r="A291" s="825"/>
      <c r="B291" s="825"/>
      <c r="C291" s="825"/>
      <c r="D291" s="825"/>
      <c r="E291" s="825"/>
      <c r="F291" s="825"/>
      <c r="G291" s="825"/>
      <c r="H291" s="825"/>
      <c r="I291" s="825"/>
      <c r="J291" s="825"/>
      <c r="K291" s="825"/>
      <c r="L291" s="825"/>
      <c r="M291" s="825"/>
      <c r="N291" s="825"/>
      <c r="O291" s="825"/>
    </row>
    <row r="292" spans="1:15" ht="16.5" customHeight="1" x14ac:dyDescent="0.3">
      <c r="A292" s="825"/>
      <c r="B292" s="825"/>
      <c r="C292" s="825"/>
      <c r="D292" s="825"/>
      <c r="E292" s="825"/>
      <c r="F292" s="825"/>
      <c r="G292" s="825"/>
      <c r="H292" s="825"/>
      <c r="I292" s="825"/>
      <c r="J292" s="825"/>
      <c r="K292" s="825"/>
      <c r="L292" s="825"/>
      <c r="M292" s="825"/>
      <c r="N292" s="825"/>
      <c r="O292" s="825"/>
    </row>
    <row r="293" spans="1:15" ht="16.5" customHeight="1" x14ac:dyDescent="0.3">
      <c r="A293" s="825"/>
      <c r="B293" s="825"/>
      <c r="C293" s="825"/>
      <c r="D293" s="825"/>
      <c r="E293" s="825"/>
      <c r="F293" s="825"/>
      <c r="G293" s="825"/>
      <c r="H293" s="825"/>
      <c r="I293" s="825"/>
      <c r="J293" s="825"/>
      <c r="K293" s="825"/>
      <c r="L293" s="825"/>
      <c r="M293" s="825"/>
      <c r="N293" s="825"/>
      <c r="O293" s="825"/>
    </row>
    <row r="294" spans="1:15" ht="16.5" customHeight="1" x14ac:dyDescent="0.3">
      <c r="A294" s="825"/>
      <c r="B294" s="825"/>
      <c r="C294" s="825"/>
      <c r="D294" s="825"/>
      <c r="E294" s="825"/>
      <c r="F294" s="825"/>
      <c r="G294" s="825"/>
      <c r="H294" s="825"/>
      <c r="I294" s="825"/>
      <c r="J294" s="825"/>
      <c r="K294" s="825"/>
      <c r="L294" s="825"/>
      <c r="M294" s="825"/>
      <c r="N294" s="825"/>
      <c r="O294" s="825"/>
    </row>
    <row r="295" spans="1:15" ht="16.5" customHeight="1" x14ac:dyDescent="0.3">
      <c r="A295" s="825"/>
      <c r="B295" s="825"/>
      <c r="C295" s="825"/>
      <c r="D295" s="825"/>
      <c r="E295" s="825"/>
      <c r="F295" s="825"/>
      <c r="G295" s="825"/>
      <c r="H295" s="825"/>
      <c r="I295" s="825"/>
      <c r="J295" s="825"/>
      <c r="K295" s="825"/>
      <c r="L295" s="825"/>
      <c r="M295" s="825"/>
      <c r="N295" s="825"/>
      <c r="O295" s="825"/>
    </row>
    <row r="296" spans="1:15" ht="16.5" customHeight="1" x14ac:dyDescent="0.3">
      <c r="A296" s="825"/>
      <c r="B296" s="825"/>
      <c r="C296" s="825"/>
      <c r="D296" s="825"/>
      <c r="E296" s="825"/>
      <c r="F296" s="825"/>
      <c r="G296" s="825"/>
      <c r="H296" s="825"/>
      <c r="I296" s="825"/>
      <c r="J296" s="825"/>
      <c r="K296" s="825"/>
      <c r="L296" s="825"/>
      <c r="M296" s="825"/>
      <c r="N296" s="825"/>
      <c r="O296" s="825"/>
    </row>
    <row r="297" spans="1:15" ht="16.5" customHeight="1" x14ac:dyDescent="0.3">
      <c r="A297" s="825"/>
      <c r="B297" s="825"/>
      <c r="C297" s="825"/>
      <c r="D297" s="825"/>
      <c r="E297" s="825"/>
      <c r="F297" s="825"/>
      <c r="G297" s="825"/>
      <c r="H297" s="825"/>
      <c r="I297" s="825"/>
      <c r="J297" s="825"/>
      <c r="K297" s="825"/>
      <c r="L297" s="825"/>
      <c r="M297" s="825"/>
      <c r="N297" s="825"/>
      <c r="O297" s="825"/>
    </row>
    <row r="298" spans="1:15" ht="16.5" customHeight="1" x14ac:dyDescent="0.3">
      <c r="A298" s="825"/>
      <c r="B298" s="825"/>
      <c r="C298" s="825"/>
      <c r="D298" s="825"/>
      <c r="E298" s="825"/>
      <c r="F298" s="825"/>
      <c r="G298" s="825"/>
      <c r="H298" s="825"/>
      <c r="I298" s="825"/>
      <c r="J298" s="825"/>
      <c r="K298" s="825"/>
      <c r="L298" s="825"/>
      <c r="M298" s="825"/>
      <c r="N298" s="825"/>
      <c r="O298" s="825"/>
    </row>
    <row r="299" spans="1:15" ht="16.5" customHeight="1" x14ac:dyDescent="0.3">
      <c r="A299" s="825"/>
      <c r="B299" s="825"/>
      <c r="C299" s="825"/>
      <c r="D299" s="825"/>
      <c r="E299" s="825"/>
      <c r="F299" s="825"/>
      <c r="G299" s="825"/>
      <c r="H299" s="825"/>
      <c r="I299" s="825"/>
      <c r="J299" s="825"/>
      <c r="K299" s="825"/>
      <c r="L299" s="825"/>
      <c r="M299" s="825"/>
      <c r="N299" s="825"/>
      <c r="O299" s="825"/>
    </row>
    <row r="300" spans="1:15" ht="16.5" customHeight="1" x14ac:dyDescent="0.3">
      <c r="A300" s="825"/>
      <c r="B300" s="825"/>
      <c r="C300" s="825"/>
      <c r="D300" s="825"/>
      <c r="E300" s="825"/>
      <c r="F300" s="825"/>
      <c r="G300" s="825"/>
      <c r="H300" s="825"/>
      <c r="I300" s="825"/>
      <c r="J300" s="825"/>
      <c r="K300" s="825"/>
      <c r="L300" s="825"/>
      <c r="M300" s="825"/>
      <c r="N300" s="825"/>
      <c r="O300" s="825"/>
    </row>
    <row r="301" spans="1:15" ht="16.5" customHeight="1" x14ac:dyDescent="0.3">
      <c r="A301" s="825"/>
      <c r="B301" s="825"/>
      <c r="C301" s="825"/>
      <c r="D301" s="825"/>
      <c r="E301" s="825"/>
      <c r="F301" s="825"/>
      <c r="G301" s="825"/>
      <c r="H301" s="825"/>
      <c r="I301" s="825"/>
      <c r="J301" s="825"/>
      <c r="K301" s="825"/>
      <c r="L301" s="825"/>
      <c r="M301" s="825"/>
      <c r="N301" s="825"/>
      <c r="O301" s="825"/>
    </row>
    <row r="302" spans="1:15" ht="16.5" customHeight="1" x14ac:dyDescent="0.3">
      <c r="A302" s="825"/>
      <c r="B302" s="825"/>
      <c r="C302" s="825"/>
      <c r="D302" s="825"/>
      <c r="E302" s="825"/>
      <c r="F302" s="825"/>
      <c r="G302" s="825"/>
      <c r="H302" s="825"/>
      <c r="I302" s="825"/>
      <c r="J302" s="825"/>
      <c r="K302" s="825"/>
      <c r="L302" s="825"/>
      <c r="M302" s="825"/>
      <c r="N302" s="825"/>
      <c r="O302" s="825"/>
    </row>
    <row r="303" spans="1:15" ht="16.5" customHeight="1" x14ac:dyDescent="0.3">
      <c r="A303" s="825"/>
      <c r="B303" s="825"/>
      <c r="C303" s="825"/>
      <c r="D303" s="825"/>
      <c r="E303" s="825"/>
      <c r="F303" s="825"/>
      <c r="G303" s="825"/>
      <c r="H303" s="825"/>
      <c r="I303" s="825"/>
      <c r="J303" s="825"/>
      <c r="K303" s="825"/>
      <c r="L303" s="825"/>
      <c r="M303" s="825"/>
      <c r="N303" s="825"/>
      <c r="O303" s="825"/>
    </row>
    <row r="304" spans="1:15" ht="16.5" customHeight="1" x14ac:dyDescent="0.3">
      <c r="A304" s="825"/>
      <c r="B304" s="825"/>
      <c r="C304" s="825"/>
      <c r="D304" s="825"/>
      <c r="E304" s="825"/>
      <c r="F304" s="825"/>
      <c r="G304" s="825"/>
      <c r="H304" s="825"/>
      <c r="I304" s="825"/>
      <c r="J304" s="825"/>
      <c r="K304" s="825"/>
      <c r="L304" s="825"/>
      <c r="M304" s="825"/>
      <c r="N304" s="825"/>
      <c r="O304" s="825"/>
    </row>
    <row r="305" spans="1:15" ht="16.5" customHeight="1" x14ac:dyDescent="0.3">
      <c r="A305" s="825"/>
      <c r="B305" s="825"/>
      <c r="C305" s="825"/>
      <c r="D305" s="825"/>
      <c r="E305" s="825"/>
      <c r="F305" s="825"/>
      <c r="G305" s="825"/>
      <c r="H305" s="825"/>
      <c r="I305" s="825"/>
      <c r="J305" s="825"/>
      <c r="K305" s="825"/>
      <c r="L305" s="825"/>
      <c r="M305" s="825"/>
      <c r="N305" s="825"/>
      <c r="O305" s="825"/>
    </row>
    <row r="306" spans="1:15" ht="16.5" customHeight="1" x14ac:dyDescent="0.3">
      <c r="A306" s="825"/>
      <c r="B306" s="825"/>
      <c r="C306" s="825"/>
      <c r="D306" s="825"/>
      <c r="E306" s="825"/>
      <c r="F306" s="825"/>
      <c r="G306" s="825"/>
      <c r="H306" s="825"/>
      <c r="I306" s="825"/>
      <c r="J306" s="825"/>
      <c r="K306" s="825"/>
      <c r="L306" s="825"/>
      <c r="M306" s="825"/>
      <c r="N306" s="825"/>
      <c r="O306" s="825"/>
    </row>
    <row r="307" spans="1:15" ht="16.5" customHeight="1" x14ac:dyDescent="0.3">
      <c r="A307" s="825"/>
      <c r="B307" s="825"/>
      <c r="C307" s="825"/>
      <c r="D307" s="825"/>
      <c r="E307" s="825"/>
      <c r="F307" s="825"/>
      <c r="G307" s="825"/>
      <c r="H307" s="825"/>
      <c r="I307" s="825"/>
      <c r="J307" s="825"/>
      <c r="K307" s="825"/>
      <c r="L307" s="825"/>
      <c r="M307" s="825"/>
      <c r="N307" s="825"/>
      <c r="O307" s="825"/>
    </row>
    <row r="308" spans="1:15" ht="16.5" customHeight="1" x14ac:dyDescent="0.3">
      <c r="A308" s="825"/>
      <c r="B308" s="825"/>
      <c r="C308" s="825"/>
      <c r="D308" s="825"/>
      <c r="E308" s="825"/>
      <c r="F308" s="825"/>
      <c r="G308" s="825"/>
      <c r="H308" s="825"/>
      <c r="I308" s="825"/>
      <c r="J308" s="825"/>
      <c r="K308" s="825"/>
      <c r="L308" s="825"/>
      <c r="M308" s="825"/>
      <c r="N308" s="825"/>
      <c r="O308" s="825"/>
    </row>
    <row r="309" spans="1:15" ht="16.5" customHeight="1" x14ac:dyDescent="0.3">
      <c r="A309" s="825"/>
      <c r="B309" s="825"/>
      <c r="C309" s="825"/>
      <c r="D309" s="825"/>
      <c r="E309" s="825"/>
      <c r="F309" s="825"/>
      <c r="G309" s="825"/>
      <c r="H309" s="825"/>
      <c r="I309" s="825"/>
      <c r="J309" s="825"/>
      <c r="K309" s="825"/>
      <c r="L309" s="825"/>
      <c r="M309" s="825"/>
      <c r="N309" s="825"/>
      <c r="O309" s="825"/>
    </row>
    <row r="310" spans="1:15" ht="16.5" customHeight="1" x14ac:dyDescent="0.3">
      <c r="A310" s="825"/>
      <c r="B310" s="825"/>
      <c r="C310" s="825"/>
      <c r="D310" s="825"/>
      <c r="E310" s="825"/>
      <c r="F310" s="825"/>
      <c r="G310" s="825"/>
      <c r="H310" s="825"/>
      <c r="I310" s="825"/>
      <c r="J310" s="825"/>
      <c r="K310" s="825"/>
      <c r="L310" s="825"/>
      <c r="M310" s="825"/>
      <c r="N310" s="825"/>
      <c r="O310" s="825"/>
    </row>
    <row r="311" spans="1:15" ht="16.5" customHeight="1" x14ac:dyDescent="0.3">
      <c r="A311" s="825"/>
      <c r="B311" s="825"/>
      <c r="C311" s="825"/>
      <c r="D311" s="825"/>
      <c r="E311" s="825"/>
      <c r="F311" s="825"/>
      <c r="G311" s="825"/>
      <c r="H311" s="825"/>
      <c r="I311" s="825"/>
      <c r="J311" s="825"/>
      <c r="K311" s="825"/>
      <c r="L311" s="825"/>
      <c r="M311" s="825"/>
      <c r="N311" s="825"/>
      <c r="O311" s="825"/>
    </row>
    <row r="312" spans="1:15" ht="16.5" customHeight="1" x14ac:dyDescent="0.3">
      <c r="A312" s="825"/>
      <c r="B312" s="825"/>
      <c r="C312" s="825"/>
      <c r="D312" s="825"/>
      <c r="E312" s="825"/>
      <c r="F312" s="825"/>
      <c r="G312" s="825"/>
      <c r="H312" s="825"/>
      <c r="I312" s="825"/>
      <c r="J312" s="825"/>
      <c r="K312" s="825"/>
      <c r="L312" s="825"/>
      <c r="M312" s="825"/>
      <c r="N312" s="825"/>
      <c r="O312" s="825"/>
    </row>
    <row r="313" spans="1:15" ht="16.5" customHeight="1" x14ac:dyDescent="0.3">
      <c r="A313" s="825"/>
      <c r="B313" s="825"/>
      <c r="C313" s="825"/>
      <c r="D313" s="825"/>
      <c r="E313" s="825"/>
      <c r="F313" s="825"/>
      <c r="G313" s="825"/>
      <c r="H313" s="825"/>
      <c r="I313" s="825"/>
      <c r="J313" s="825"/>
      <c r="K313" s="825"/>
      <c r="L313" s="825"/>
      <c r="M313" s="825"/>
      <c r="N313" s="825"/>
      <c r="O313" s="825"/>
    </row>
    <row r="314" spans="1:15" ht="16.5" customHeight="1" x14ac:dyDescent="0.3">
      <c r="A314" s="825"/>
      <c r="B314" s="825"/>
      <c r="C314" s="825"/>
      <c r="D314" s="825"/>
      <c r="E314" s="825"/>
      <c r="F314" s="825"/>
      <c r="G314" s="825"/>
      <c r="H314" s="825"/>
      <c r="I314" s="825"/>
      <c r="J314" s="825"/>
      <c r="K314" s="825"/>
      <c r="L314" s="825"/>
      <c r="M314" s="825"/>
      <c r="N314" s="825"/>
      <c r="O314" s="825"/>
    </row>
    <row r="315" spans="1:15" ht="16.5" customHeight="1" x14ac:dyDescent="0.3">
      <c r="A315" s="825"/>
      <c r="B315" s="825"/>
      <c r="C315" s="825"/>
      <c r="D315" s="825"/>
      <c r="E315" s="825"/>
      <c r="F315" s="825"/>
      <c r="G315" s="825"/>
      <c r="H315" s="825"/>
      <c r="I315" s="825"/>
      <c r="J315" s="825"/>
      <c r="K315" s="825"/>
      <c r="L315" s="825"/>
      <c r="M315" s="825"/>
      <c r="N315" s="825"/>
      <c r="O315" s="825"/>
    </row>
    <row r="316" spans="1:15" ht="16.5" customHeight="1" x14ac:dyDescent="0.3">
      <c r="A316" s="825"/>
      <c r="B316" s="825"/>
      <c r="C316" s="825"/>
      <c r="D316" s="825"/>
      <c r="E316" s="825"/>
      <c r="F316" s="825"/>
      <c r="G316" s="825"/>
      <c r="H316" s="825"/>
      <c r="I316" s="825"/>
      <c r="J316" s="825"/>
      <c r="K316" s="825"/>
      <c r="L316" s="825"/>
      <c r="M316" s="825"/>
      <c r="N316" s="825"/>
      <c r="O316" s="825"/>
    </row>
    <row r="317" spans="1:15" ht="16.5" customHeight="1" x14ac:dyDescent="0.3">
      <c r="A317" s="825"/>
      <c r="B317" s="825"/>
      <c r="C317" s="825"/>
      <c r="D317" s="825"/>
      <c r="E317" s="825"/>
      <c r="F317" s="825"/>
      <c r="G317" s="825"/>
      <c r="H317" s="825"/>
      <c r="I317" s="825"/>
      <c r="J317" s="825"/>
      <c r="K317" s="825"/>
      <c r="L317" s="825"/>
      <c r="M317" s="825"/>
      <c r="N317" s="825"/>
      <c r="O317" s="825"/>
    </row>
    <row r="318" spans="1:15" ht="16.5" customHeight="1" x14ac:dyDescent="0.3">
      <c r="A318" s="825"/>
      <c r="B318" s="825"/>
      <c r="C318" s="825"/>
      <c r="D318" s="825"/>
      <c r="E318" s="825"/>
      <c r="F318" s="825"/>
      <c r="G318" s="825"/>
      <c r="H318" s="825"/>
      <c r="I318" s="825"/>
      <c r="J318" s="825"/>
      <c r="K318" s="825"/>
      <c r="L318" s="825"/>
      <c r="M318" s="825"/>
      <c r="N318" s="825"/>
      <c r="O318" s="825"/>
    </row>
    <row r="319" spans="1:15" ht="16.5" customHeight="1" x14ac:dyDescent="0.3">
      <c r="A319" s="825"/>
      <c r="B319" s="825"/>
      <c r="C319" s="825"/>
      <c r="D319" s="825"/>
      <c r="E319" s="825"/>
      <c r="F319" s="825"/>
      <c r="G319" s="825"/>
      <c r="H319" s="825"/>
      <c r="I319" s="825"/>
      <c r="J319" s="825"/>
      <c r="K319" s="825"/>
      <c r="L319" s="825"/>
      <c r="M319" s="825"/>
      <c r="N319" s="825"/>
      <c r="O319" s="825"/>
    </row>
    <row r="320" spans="1:15" ht="16.5" customHeight="1" x14ac:dyDescent="0.3">
      <c r="A320" s="825"/>
      <c r="B320" s="825"/>
      <c r="C320" s="825"/>
      <c r="D320" s="825"/>
      <c r="E320" s="825"/>
      <c r="F320" s="825"/>
      <c r="G320" s="825"/>
      <c r="H320" s="825"/>
      <c r="I320" s="825"/>
      <c r="J320" s="825"/>
      <c r="K320" s="825"/>
      <c r="L320" s="825"/>
      <c r="M320" s="825"/>
      <c r="N320" s="825"/>
      <c r="O320" s="825"/>
    </row>
    <row r="321" spans="1:15" ht="16.5" customHeight="1" x14ac:dyDescent="0.3">
      <c r="A321" s="825"/>
      <c r="B321" s="825"/>
      <c r="C321" s="825"/>
      <c r="D321" s="825"/>
      <c r="E321" s="825"/>
      <c r="F321" s="825"/>
      <c r="G321" s="825"/>
      <c r="H321" s="825"/>
      <c r="I321" s="825"/>
      <c r="J321" s="825"/>
      <c r="K321" s="825"/>
      <c r="L321" s="825"/>
      <c r="M321" s="825"/>
      <c r="N321" s="825"/>
      <c r="O321" s="825"/>
    </row>
    <row r="322" spans="1:15" ht="16.5" customHeight="1" x14ac:dyDescent="0.3">
      <c r="A322" s="825"/>
      <c r="B322" s="825"/>
      <c r="C322" s="825"/>
      <c r="D322" s="825"/>
      <c r="E322" s="825"/>
      <c r="F322" s="825"/>
      <c r="G322" s="825"/>
      <c r="H322" s="825"/>
      <c r="I322" s="825"/>
      <c r="J322" s="825"/>
      <c r="K322" s="825"/>
      <c r="L322" s="825"/>
      <c r="M322" s="825"/>
      <c r="N322" s="825"/>
      <c r="O322" s="825"/>
    </row>
    <row r="323" spans="1:15" ht="16.5" customHeight="1" x14ac:dyDescent="0.3">
      <c r="A323" s="825"/>
      <c r="B323" s="825"/>
      <c r="C323" s="825"/>
      <c r="D323" s="825"/>
      <c r="E323" s="825"/>
      <c r="F323" s="825"/>
      <c r="G323" s="825"/>
      <c r="H323" s="825"/>
      <c r="I323" s="825"/>
      <c r="J323" s="825"/>
      <c r="K323" s="825"/>
      <c r="L323" s="825"/>
      <c r="M323" s="825"/>
      <c r="N323" s="825"/>
      <c r="O323" s="825"/>
    </row>
    <row r="324" spans="1:15" ht="16.5" customHeight="1" x14ac:dyDescent="0.3">
      <c r="A324" s="825"/>
      <c r="B324" s="825"/>
      <c r="C324" s="825"/>
      <c r="D324" s="825"/>
      <c r="E324" s="825"/>
      <c r="F324" s="825"/>
      <c r="G324" s="825"/>
      <c r="H324" s="825"/>
      <c r="I324" s="825"/>
      <c r="J324" s="825"/>
      <c r="K324" s="825"/>
      <c r="L324" s="825"/>
      <c r="M324" s="825"/>
      <c r="N324" s="825"/>
      <c r="O324" s="825"/>
    </row>
    <row r="325" spans="1:15" ht="16.5" customHeight="1" x14ac:dyDescent="0.3">
      <c r="A325" s="825"/>
      <c r="B325" s="825"/>
      <c r="C325" s="825"/>
      <c r="D325" s="825"/>
      <c r="E325" s="825"/>
      <c r="F325" s="825"/>
      <c r="G325" s="825"/>
      <c r="H325" s="825"/>
      <c r="I325" s="825"/>
      <c r="J325" s="825"/>
      <c r="K325" s="825"/>
      <c r="L325" s="825"/>
      <c r="M325" s="825"/>
      <c r="N325" s="825"/>
      <c r="O325" s="825"/>
    </row>
    <row r="326" spans="1:15" ht="16.5" customHeight="1" x14ac:dyDescent="0.3">
      <c r="A326" s="825"/>
      <c r="B326" s="825"/>
      <c r="C326" s="825"/>
      <c r="D326" s="825"/>
      <c r="E326" s="825"/>
      <c r="F326" s="825"/>
      <c r="G326" s="825"/>
      <c r="H326" s="825"/>
      <c r="I326" s="825"/>
      <c r="J326" s="825"/>
      <c r="K326" s="825"/>
      <c r="L326" s="825"/>
      <c r="M326" s="825"/>
      <c r="N326" s="825"/>
      <c r="O326" s="825"/>
    </row>
    <row r="327" spans="1:15" ht="16.5" customHeight="1" x14ac:dyDescent="0.3">
      <c r="A327" s="825"/>
      <c r="B327" s="825"/>
      <c r="C327" s="825"/>
      <c r="D327" s="825"/>
      <c r="E327" s="825"/>
      <c r="F327" s="825"/>
      <c r="G327" s="825"/>
      <c r="H327" s="825"/>
      <c r="I327" s="825"/>
      <c r="J327" s="825"/>
      <c r="K327" s="825"/>
      <c r="L327" s="825"/>
      <c r="M327" s="825"/>
      <c r="N327" s="825"/>
      <c r="O327" s="825"/>
    </row>
    <row r="328" spans="1:15" ht="16.5" customHeight="1" x14ac:dyDescent="0.3">
      <c r="A328" s="825"/>
      <c r="B328" s="825"/>
      <c r="C328" s="825"/>
      <c r="D328" s="825"/>
      <c r="E328" s="825"/>
      <c r="F328" s="825"/>
      <c r="G328" s="825"/>
      <c r="H328" s="825"/>
      <c r="I328" s="825"/>
      <c r="J328" s="825"/>
      <c r="K328" s="825"/>
      <c r="L328" s="825"/>
      <c r="M328" s="825"/>
      <c r="N328" s="825"/>
      <c r="O328" s="825"/>
    </row>
    <row r="329" spans="1:15" ht="16.5" customHeight="1" x14ac:dyDescent="0.3">
      <c r="A329" s="825"/>
      <c r="B329" s="825"/>
      <c r="C329" s="825"/>
      <c r="D329" s="825"/>
      <c r="E329" s="825"/>
      <c r="F329" s="825"/>
      <c r="G329" s="825"/>
      <c r="H329" s="825"/>
      <c r="I329" s="825"/>
      <c r="J329" s="825"/>
      <c r="K329" s="825"/>
      <c r="L329" s="825"/>
      <c r="M329" s="825"/>
      <c r="N329" s="825"/>
      <c r="O329" s="825"/>
    </row>
    <row r="330" spans="1:15" ht="16.5" customHeight="1" x14ac:dyDescent="0.3">
      <c r="A330" s="825"/>
      <c r="B330" s="825"/>
      <c r="C330" s="825"/>
      <c r="D330" s="825"/>
      <c r="E330" s="825"/>
      <c r="F330" s="825"/>
      <c r="G330" s="825"/>
      <c r="H330" s="825"/>
      <c r="I330" s="825"/>
      <c r="J330" s="825"/>
      <c r="K330" s="825"/>
      <c r="L330" s="825"/>
      <c r="M330" s="825"/>
      <c r="N330" s="825"/>
      <c r="O330" s="825"/>
    </row>
    <row r="331" spans="1:15" ht="16.5" customHeight="1" x14ac:dyDescent="0.3">
      <c r="A331" s="825"/>
      <c r="B331" s="825"/>
      <c r="C331" s="825"/>
      <c r="D331" s="825"/>
      <c r="E331" s="825"/>
      <c r="F331" s="825"/>
      <c r="G331" s="825"/>
      <c r="H331" s="825"/>
      <c r="I331" s="825"/>
      <c r="J331" s="825"/>
      <c r="K331" s="825"/>
      <c r="L331" s="825"/>
      <c r="M331" s="825"/>
      <c r="N331" s="825"/>
      <c r="O331" s="825"/>
    </row>
    <row r="332" spans="1:15" ht="16.5" customHeight="1" x14ac:dyDescent="0.3">
      <c r="A332" s="825"/>
      <c r="B332" s="825"/>
      <c r="C332" s="825"/>
      <c r="D332" s="825"/>
      <c r="E332" s="825"/>
      <c r="F332" s="825"/>
      <c r="G332" s="825"/>
      <c r="H332" s="825"/>
      <c r="I332" s="825"/>
      <c r="J332" s="825"/>
      <c r="K332" s="825"/>
      <c r="L332" s="825"/>
      <c r="M332" s="825"/>
      <c r="N332" s="825"/>
      <c r="O332" s="825"/>
    </row>
    <row r="333" spans="1:15" ht="16.5" customHeight="1" x14ac:dyDescent="0.3">
      <c r="A333" s="825"/>
      <c r="B333" s="825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</row>
    <row r="334" spans="1:15" ht="16.5" customHeight="1" x14ac:dyDescent="0.3">
      <c r="A334" s="825"/>
      <c r="B334" s="825"/>
      <c r="C334" s="825"/>
      <c r="D334" s="825"/>
      <c r="E334" s="825"/>
      <c r="F334" s="825"/>
      <c r="G334" s="825"/>
      <c r="H334" s="825"/>
      <c r="I334" s="825"/>
      <c r="J334" s="825"/>
      <c r="K334" s="825"/>
      <c r="L334" s="825"/>
      <c r="M334" s="825"/>
      <c r="N334" s="825"/>
      <c r="O334" s="825"/>
    </row>
    <row r="335" spans="1:15" ht="16.5" customHeight="1" x14ac:dyDescent="0.3">
      <c r="A335" s="825"/>
      <c r="B335" s="825"/>
      <c r="C335" s="825"/>
      <c r="D335" s="825"/>
      <c r="E335" s="825"/>
      <c r="F335" s="825"/>
      <c r="G335" s="825"/>
      <c r="H335" s="825"/>
      <c r="I335" s="825"/>
      <c r="J335" s="825"/>
      <c r="K335" s="825"/>
      <c r="L335" s="825"/>
      <c r="M335" s="825"/>
      <c r="N335" s="825"/>
      <c r="O335" s="825"/>
    </row>
    <row r="336" spans="1:15" ht="16.5" customHeight="1" x14ac:dyDescent="0.3">
      <c r="A336" s="825"/>
      <c r="B336" s="825"/>
      <c r="C336" s="825"/>
      <c r="D336" s="825"/>
      <c r="E336" s="825"/>
      <c r="F336" s="825"/>
      <c r="G336" s="825"/>
      <c r="H336" s="825"/>
      <c r="I336" s="825"/>
      <c r="J336" s="825"/>
      <c r="K336" s="825"/>
      <c r="L336" s="825"/>
      <c r="M336" s="825"/>
      <c r="N336" s="825"/>
      <c r="O336" s="825"/>
    </row>
    <row r="337" spans="1:15" ht="16.5" customHeight="1" x14ac:dyDescent="0.3">
      <c r="A337" s="825"/>
      <c r="B337" s="825"/>
      <c r="C337" s="825"/>
      <c r="D337" s="825"/>
      <c r="E337" s="825"/>
      <c r="F337" s="825"/>
      <c r="G337" s="825"/>
      <c r="H337" s="825"/>
      <c r="I337" s="825"/>
      <c r="J337" s="825"/>
      <c r="K337" s="825"/>
      <c r="L337" s="825"/>
      <c r="M337" s="825"/>
      <c r="N337" s="825"/>
      <c r="O337" s="825"/>
    </row>
    <row r="338" spans="1:15" ht="16.5" customHeight="1" x14ac:dyDescent="0.3">
      <c r="A338" s="825"/>
      <c r="B338" s="825"/>
      <c r="C338" s="825"/>
      <c r="D338" s="825"/>
      <c r="E338" s="825"/>
      <c r="F338" s="825"/>
      <c r="G338" s="825"/>
      <c r="H338" s="825"/>
      <c r="I338" s="825"/>
      <c r="J338" s="825"/>
      <c r="K338" s="825"/>
      <c r="L338" s="825"/>
      <c r="M338" s="825"/>
      <c r="N338" s="825"/>
      <c r="O338" s="825"/>
    </row>
    <row r="339" spans="1:15" ht="16.5" customHeight="1" x14ac:dyDescent="0.3">
      <c r="A339" s="825"/>
      <c r="B339" s="825"/>
      <c r="C339" s="825"/>
      <c r="D339" s="825"/>
      <c r="E339" s="825"/>
      <c r="F339" s="825"/>
      <c r="G339" s="825"/>
      <c r="H339" s="825"/>
      <c r="I339" s="825"/>
      <c r="J339" s="825"/>
      <c r="K339" s="825"/>
      <c r="L339" s="825"/>
      <c r="M339" s="825"/>
      <c r="N339" s="825"/>
      <c r="O339" s="825"/>
    </row>
    <row r="340" spans="1:15" ht="16.5" customHeight="1" x14ac:dyDescent="0.3">
      <c r="A340" s="825"/>
      <c r="B340" s="825"/>
      <c r="C340" s="825"/>
      <c r="D340" s="825"/>
      <c r="E340" s="825"/>
      <c r="F340" s="825"/>
      <c r="G340" s="825"/>
      <c r="H340" s="825"/>
      <c r="I340" s="825"/>
      <c r="J340" s="825"/>
      <c r="K340" s="825"/>
      <c r="L340" s="825"/>
      <c r="M340" s="825"/>
      <c r="N340" s="825"/>
      <c r="O340" s="825"/>
    </row>
    <row r="341" spans="1:15" ht="16.5" customHeight="1" x14ac:dyDescent="0.3">
      <c r="A341" s="825"/>
      <c r="B341" s="825"/>
      <c r="C341" s="825"/>
      <c r="D341" s="825"/>
      <c r="E341" s="825"/>
      <c r="F341" s="825"/>
      <c r="G341" s="825"/>
      <c r="H341" s="825"/>
      <c r="I341" s="825"/>
      <c r="J341" s="825"/>
      <c r="K341" s="825"/>
      <c r="L341" s="825"/>
      <c r="M341" s="825"/>
      <c r="N341" s="825"/>
      <c r="O341" s="825"/>
    </row>
    <row r="342" spans="1:15" ht="16.5" customHeight="1" x14ac:dyDescent="0.3">
      <c r="A342" s="825"/>
      <c r="B342" s="825"/>
      <c r="C342" s="825"/>
      <c r="D342" s="825"/>
      <c r="E342" s="825"/>
      <c r="F342" s="825"/>
      <c r="G342" s="825"/>
      <c r="H342" s="825"/>
      <c r="I342" s="825"/>
      <c r="J342" s="825"/>
      <c r="K342" s="825"/>
      <c r="L342" s="825"/>
      <c r="M342" s="825"/>
      <c r="N342" s="825"/>
      <c r="O342" s="825"/>
    </row>
    <row r="343" spans="1:15" ht="16.5" customHeight="1" x14ac:dyDescent="0.3">
      <c r="A343" s="825"/>
      <c r="B343" s="825"/>
      <c r="C343" s="825"/>
      <c r="D343" s="825"/>
      <c r="E343" s="825"/>
      <c r="F343" s="825"/>
      <c r="G343" s="825"/>
      <c r="H343" s="825"/>
      <c r="I343" s="825"/>
      <c r="J343" s="825"/>
      <c r="K343" s="825"/>
      <c r="L343" s="825"/>
      <c r="M343" s="825"/>
      <c r="N343" s="825"/>
      <c r="O343" s="825"/>
    </row>
    <row r="344" spans="1:15" ht="16.5" customHeight="1" x14ac:dyDescent="0.3">
      <c r="A344" s="825"/>
      <c r="B344" s="825"/>
      <c r="C344" s="825"/>
      <c r="D344" s="825"/>
      <c r="E344" s="825"/>
      <c r="F344" s="825"/>
      <c r="G344" s="825"/>
      <c r="H344" s="825"/>
      <c r="I344" s="825"/>
      <c r="J344" s="825"/>
      <c r="K344" s="825"/>
      <c r="L344" s="825"/>
      <c r="M344" s="825"/>
      <c r="N344" s="825"/>
      <c r="O344" s="825"/>
    </row>
    <row r="345" spans="1:15" ht="16.5" customHeight="1" x14ac:dyDescent="0.3">
      <c r="A345" s="825"/>
      <c r="B345" s="825"/>
      <c r="C345" s="825"/>
      <c r="D345" s="825"/>
      <c r="E345" s="825"/>
      <c r="F345" s="825"/>
      <c r="G345" s="825"/>
      <c r="H345" s="825"/>
      <c r="I345" s="825"/>
      <c r="J345" s="825"/>
      <c r="K345" s="825"/>
      <c r="L345" s="825"/>
      <c r="M345" s="825"/>
      <c r="N345" s="825"/>
      <c r="O345" s="825"/>
    </row>
    <row r="346" spans="1:15" ht="16.5" customHeight="1" x14ac:dyDescent="0.3">
      <c r="A346" s="825"/>
      <c r="B346" s="825"/>
      <c r="C346" s="825"/>
      <c r="D346" s="825"/>
      <c r="E346" s="825"/>
      <c r="F346" s="825"/>
      <c r="G346" s="825"/>
      <c r="H346" s="825"/>
      <c r="I346" s="825"/>
      <c r="J346" s="825"/>
      <c r="K346" s="825"/>
      <c r="L346" s="825"/>
      <c r="M346" s="825"/>
      <c r="N346" s="825"/>
      <c r="O346" s="825"/>
    </row>
    <row r="347" spans="1:15" ht="16.5" customHeight="1" x14ac:dyDescent="0.3">
      <c r="A347" s="825"/>
      <c r="B347" s="825"/>
      <c r="C347" s="825"/>
      <c r="D347" s="825"/>
      <c r="E347" s="825"/>
      <c r="F347" s="825"/>
      <c r="G347" s="825"/>
      <c r="H347" s="825"/>
      <c r="I347" s="825"/>
      <c r="J347" s="825"/>
      <c r="K347" s="825"/>
      <c r="L347" s="825"/>
      <c r="M347" s="825"/>
      <c r="N347" s="825"/>
      <c r="O347" s="825"/>
    </row>
    <row r="348" spans="1:15" ht="16.5" customHeight="1" x14ac:dyDescent="0.3">
      <c r="A348" s="825"/>
      <c r="B348" s="825"/>
      <c r="C348" s="825"/>
      <c r="D348" s="825"/>
      <c r="E348" s="825"/>
      <c r="F348" s="825"/>
      <c r="G348" s="825"/>
      <c r="H348" s="825"/>
      <c r="I348" s="825"/>
      <c r="J348" s="825"/>
      <c r="K348" s="825"/>
      <c r="L348" s="825"/>
      <c r="M348" s="825"/>
      <c r="N348" s="825"/>
      <c r="O348" s="825"/>
    </row>
    <row r="349" spans="1:15" ht="16.5" customHeight="1" x14ac:dyDescent="0.3">
      <c r="A349" s="825"/>
      <c r="B349" s="825"/>
      <c r="C349" s="825"/>
      <c r="D349" s="825"/>
      <c r="E349" s="825"/>
      <c r="F349" s="825"/>
      <c r="G349" s="825"/>
      <c r="H349" s="825"/>
      <c r="I349" s="825"/>
      <c r="J349" s="825"/>
      <c r="K349" s="825"/>
      <c r="L349" s="825"/>
      <c r="M349" s="825"/>
      <c r="N349" s="825"/>
      <c r="O349" s="825"/>
    </row>
    <row r="350" spans="1:15" ht="16.5" customHeight="1" x14ac:dyDescent="0.3">
      <c r="A350" s="825"/>
      <c r="B350" s="825"/>
      <c r="C350" s="825"/>
      <c r="D350" s="825"/>
      <c r="E350" s="825"/>
      <c r="F350" s="825"/>
      <c r="G350" s="825"/>
      <c r="H350" s="825"/>
      <c r="I350" s="825"/>
      <c r="J350" s="825"/>
      <c r="K350" s="825"/>
      <c r="L350" s="825"/>
      <c r="M350" s="825"/>
      <c r="N350" s="825"/>
      <c r="O350" s="825"/>
    </row>
    <row r="351" spans="1:15" ht="16.5" customHeight="1" x14ac:dyDescent="0.3">
      <c r="A351" s="825"/>
      <c r="B351" s="825"/>
      <c r="C351" s="825"/>
      <c r="D351" s="825"/>
      <c r="E351" s="825"/>
      <c r="F351" s="825"/>
      <c r="G351" s="825"/>
      <c r="H351" s="825"/>
      <c r="I351" s="825"/>
      <c r="J351" s="825"/>
      <c r="K351" s="825"/>
      <c r="L351" s="825"/>
      <c r="M351" s="825"/>
      <c r="N351" s="825"/>
      <c r="O351" s="825"/>
    </row>
    <row r="352" spans="1:15" ht="16.5" customHeight="1" x14ac:dyDescent="0.3">
      <c r="A352" s="825"/>
      <c r="B352" s="825"/>
      <c r="C352" s="825"/>
      <c r="D352" s="825"/>
      <c r="E352" s="825"/>
      <c r="F352" s="825"/>
      <c r="G352" s="825"/>
      <c r="H352" s="825"/>
      <c r="I352" s="825"/>
      <c r="J352" s="825"/>
      <c r="K352" s="825"/>
      <c r="L352" s="825"/>
      <c r="M352" s="825"/>
      <c r="N352" s="825"/>
      <c r="O352" s="825"/>
    </row>
    <row r="353" spans="1:15" ht="16.5" customHeight="1" x14ac:dyDescent="0.3">
      <c r="A353" s="825"/>
      <c r="B353" s="825"/>
      <c r="C353" s="825"/>
      <c r="D353" s="825"/>
      <c r="E353" s="825"/>
      <c r="F353" s="825"/>
      <c r="G353" s="825"/>
      <c r="H353" s="825"/>
      <c r="I353" s="825"/>
      <c r="J353" s="825"/>
      <c r="K353" s="825"/>
      <c r="L353" s="825"/>
      <c r="M353" s="825"/>
      <c r="N353" s="825"/>
      <c r="O353" s="825"/>
    </row>
    <row r="354" spans="1:15" ht="16.5" customHeight="1" x14ac:dyDescent="0.3">
      <c r="A354" s="825"/>
      <c r="B354" s="825"/>
      <c r="C354" s="825"/>
      <c r="D354" s="825"/>
      <c r="E354" s="825"/>
      <c r="F354" s="825"/>
      <c r="G354" s="825"/>
      <c r="H354" s="825"/>
      <c r="I354" s="825"/>
      <c r="J354" s="825"/>
      <c r="K354" s="825"/>
      <c r="L354" s="825"/>
      <c r="M354" s="825"/>
      <c r="N354" s="825"/>
      <c r="O354" s="825"/>
    </row>
    <row r="355" spans="1:15" ht="16.5" customHeight="1" x14ac:dyDescent="0.3">
      <c r="A355" s="825"/>
      <c r="B355" s="825"/>
      <c r="C355" s="825"/>
      <c r="D355" s="825"/>
      <c r="E355" s="825"/>
      <c r="F355" s="825"/>
      <c r="G355" s="825"/>
      <c r="H355" s="825"/>
      <c r="I355" s="825"/>
      <c r="J355" s="825"/>
      <c r="K355" s="825"/>
      <c r="L355" s="825"/>
      <c r="M355" s="825"/>
      <c r="N355" s="825"/>
      <c r="O355" s="825"/>
    </row>
    <row r="356" spans="1:15" ht="16.5" customHeight="1" x14ac:dyDescent="0.3">
      <c r="A356" s="825"/>
      <c r="B356" s="825"/>
      <c r="C356" s="825"/>
      <c r="D356" s="825"/>
      <c r="E356" s="825"/>
      <c r="F356" s="825"/>
      <c r="G356" s="825"/>
      <c r="H356" s="825"/>
      <c r="I356" s="825"/>
      <c r="J356" s="825"/>
      <c r="K356" s="825"/>
      <c r="L356" s="825"/>
      <c r="M356" s="825"/>
      <c r="N356" s="825"/>
      <c r="O356" s="825"/>
    </row>
    <row r="357" spans="1:15" ht="16.5" customHeight="1" x14ac:dyDescent="0.3">
      <c r="A357" s="825"/>
      <c r="B357" s="825"/>
      <c r="C357" s="825"/>
      <c r="D357" s="825"/>
      <c r="E357" s="825"/>
      <c r="F357" s="825"/>
      <c r="G357" s="825"/>
      <c r="H357" s="825"/>
      <c r="I357" s="825"/>
      <c r="J357" s="825"/>
      <c r="K357" s="825"/>
      <c r="L357" s="825"/>
      <c r="M357" s="825"/>
      <c r="N357" s="825"/>
      <c r="O357" s="825"/>
    </row>
    <row r="358" spans="1:15" ht="16.5" customHeight="1" x14ac:dyDescent="0.3">
      <c r="A358" s="825"/>
      <c r="B358" s="825"/>
      <c r="C358" s="825"/>
      <c r="D358" s="825"/>
      <c r="E358" s="825"/>
      <c r="F358" s="825"/>
      <c r="G358" s="825"/>
      <c r="H358" s="825"/>
      <c r="I358" s="825"/>
      <c r="J358" s="825"/>
      <c r="K358" s="825"/>
      <c r="L358" s="825"/>
      <c r="M358" s="825"/>
      <c r="N358" s="825"/>
      <c r="O358" s="825"/>
    </row>
    <row r="359" spans="1:15" ht="16.5" customHeight="1" x14ac:dyDescent="0.3">
      <c r="A359" s="825"/>
      <c r="B359" s="825"/>
      <c r="C359" s="825"/>
      <c r="D359" s="825"/>
      <c r="E359" s="825"/>
      <c r="F359" s="825"/>
      <c r="G359" s="825"/>
      <c r="H359" s="825"/>
      <c r="I359" s="825"/>
      <c r="J359" s="825"/>
      <c r="K359" s="825"/>
      <c r="L359" s="825"/>
      <c r="M359" s="825"/>
      <c r="N359" s="825"/>
      <c r="O359" s="825"/>
    </row>
    <row r="360" spans="1:15" ht="16.5" customHeight="1" x14ac:dyDescent="0.3">
      <c r="A360" s="825"/>
      <c r="B360" s="825"/>
      <c r="C360" s="825"/>
      <c r="D360" s="825"/>
      <c r="E360" s="825"/>
      <c r="F360" s="825"/>
      <c r="G360" s="825"/>
      <c r="H360" s="825"/>
      <c r="I360" s="825"/>
      <c r="J360" s="825"/>
      <c r="K360" s="825"/>
      <c r="L360" s="825"/>
      <c r="M360" s="825"/>
      <c r="N360" s="825"/>
      <c r="O360" s="825"/>
    </row>
    <row r="361" spans="1:15" ht="16.5" customHeight="1" x14ac:dyDescent="0.3">
      <c r="A361" s="825"/>
      <c r="B361" s="825"/>
      <c r="C361" s="825"/>
      <c r="D361" s="825"/>
      <c r="E361" s="825"/>
      <c r="F361" s="825"/>
      <c r="G361" s="825"/>
      <c r="H361" s="825"/>
      <c r="I361" s="825"/>
      <c r="J361" s="825"/>
      <c r="K361" s="825"/>
      <c r="L361" s="825"/>
      <c r="M361" s="825"/>
      <c r="N361" s="825"/>
      <c r="O361" s="825"/>
    </row>
    <row r="362" spans="1:15" ht="16.5" customHeight="1" x14ac:dyDescent="0.3">
      <c r="A362" s="825"/>
      <c r="B362" s="825"/>
      <c r="C362" s="825"/>
      <c r="D362" s="825"/>
      <c r="E362" s="825"/>
      <c r="F362" s="825"/>
      <c r="G362" s="825"/>
      <c r="H362" s="825"/>
      <c r="I362" s="825"/>
      <c r="J362" s="825"/>
      <c r="K362" s="825"/>
      <c r="L362" s="825"/>
      <c r="M362" s="825"/>
      <c r="N362" s="825"/>
      <c r="O362" s="825"/>
    </row>
    <row r="363" spans="1:15" ht="16.5" customHeight="1" x14ac:dyDescent="0.3">
      <c r="A363" s="825"/>
      <c r="B363" s="825"/>
      <c r="C363" s="825"/>
      <c r="D363" s="825"/>
      <c r="E363" s="825"/>
      <c r="F363" s="825"/>
      <c r="G363" s="825"/>
      <c r="H363" s="825"/>
      <c r="I363" s="825"/>
      <c r="J363" s="825"/>
      <c r="K363" s="825"/>
      <c r="L363" s="825"/>
      <c r="M363" s="825"/>
      <c r="N363" s="825"/>
      <c r="O363" s="825"/>
    </row>
    <row r="364" spans="1:15" ht="16.5" customHeight="1" x14ac:dyDescent="0.3">
      <c r="A364" s="825"/>
      <c r="B364" s="825"/>
      <c r="C364" s="825"/>
      <c r="D364" s="825"/>
      <c r="E364" s="825"/>
      <c r="F364" s="825"/>
      <c r="G364" s="825"/>
      <c r="H364" s="825"/>
      <c r="I364" s="825"/>
      <c r="J364" s="825"/>
      <c r="K364" s="825"/>
      <c r="L364" s="825"/>
      <c r="M364" s="825"/>
      <c r="N364" s="825"/>
      <c r="O364" s="825"/>
    </row>
    <row r="365" spans="1:15" ht="16.5" customHeight="1" x14ac:dyDescent="0.3">
      <c r="A365" s="825"/>
      <c r="B365" s="825"/>
      <c r="C365" s="825"/>
      <c r="D365" s="825"/>
      <c r="E365" s="825"/>
      <c r="F365" s="825"/>
      <c r="G365" s="825"/>
      <c r="H365" s="825"/>
      <c r="I365" s="825"/>
      <c r="J365" s="825"/>
      <c r="K365" s="825"/>
      <c r="L365" s="825"/>
      <c r="M365" s="825"/>
      <c r="N365" s="825"/>
      <c r="O365" s="825"/>
    </row>
    <row r="366" spans="1:15" ht="16.5" customHeight="1" x14ac:dyDescent="0.3">
      <c r="A366" s="825"/>
      <c r="B366" s="825"/>
      <c r="C366" s="825"/>
      <c r="D366" s="825"/>
      <c r="E366" s="825"/>
      <c r="F366" s="825"/>
      <c r="G366" s="825"/>
      <c r="H366" s="825"/>
      <c r="I366" s="825"/>
      <c r="J366" s="825"/>
      <c r="K366" s="825"/>
      <c r="L366" s="825"/>
      <c r="M366" s="825"/>
      <c r="N366" s="825"/>
      <c r="O366" s="825"/>
    </row>
    <row r="367" spans="1:15" ht="16.5" customHeight="1" x14ac:dyDescent="0.3">
      <c r="A367" s="825"/>
      <c r="B367" s="825"/>
      <c r="C367" s="825"/>
      <c r="D367" s="825"/>
      <c r="E367" s="825"/>
      <c r="F367" s="825"/>
      <c r="G367" s="825"/>
      <c r="H367" s="825"/>
      <c r="I367" s="825"/>
      <c r="J367" s="825"/>
      <c r="K367" s="825"/>
      <c r="L367" s="825"/>
      <c r="M367" s="825"/>
      <c r="N367" s="825"/>
      <c r="O367" s="825"/>
    </row>
    <row r="368" spans="1:15" ht="16.5" customHeight="1" x14ac:dyDescent="0.3">
      <c r="A368" s="825"/>
      <c r="B368" s="825"/>
      <c r="C368" s="825"/>
      <c r="D368" s="825"/>
      <c r="E368" s="825"/>
      <c r="F368" s="825"/>
      <c r="G368" s="825"/>
      <c r="H368" s="825"/>
      <c r="I368" s="825"/>
      <c r="J368" s="825"/>
      <c r="K368" s="825"/>
      <c r="L368" s="825"/>
      <c r="M368" s="825"/>
      <c r="N368" s="825"/>
      <c r="O368" s="825"/>
    </row>
    <row r="369" spans="1:15" ht="16.5" customHeight="1" x14ac:dyDescent="0.3">
      <c r="A369" s="825"/>
      <c r="B369" s="825"/>
      <c r="C369" s="825"/>
      <c r="D369" s="825"/>
      <c r="E369" s="825"/>
      <c r="F369" s="825"/>
      <c r="G369" s="825"/>
      <c r="H369" s="825"/>
      <c r="I369" s="825"/>
      <c r="J369" s="825"/>
      <c r="K369" s="825"/>
      <c r="L369" s="825"/>
      <c r="M369" s="825"/>
      <c r="N369" s="825"/>
      <c r="O369" s="825"/>
    </row>
    <row r="370" spans="1:15" ht="16.5" customHeight="1" x14ac:dyDescent="0.3">
      <c r="A370" s="825"/>
      <c r="B370" s="825"/>
      <c r="C370" s="825"/>
      <c r="D370" s="825"/>
      <c r="E370" s="825"/>
      <c r="F370" s="825"/>
      <c r="G370" s="825"/>
      <c r="H370" s="825"/>
      <c r="I370" s="825"/>
      <c r="J370" s="825"/>
      <c r="K370" s="825"/>
      <c r="L370" s="825"/>
      <c r="M370" s="825"/>
      <c r="N370" s="825"/>
      <c r="O370" s="825"/>
    </row>
    <row r="371" spans="1:15" ht="16.5" customHeight="1" x14ac:dyDescent="0.3">
      <c r="A371" s="825"/>
      <c r="B371" s="825"/>
      <c r="C371" s="825"/>
      <c r="D371" s="825"/>
      <c r="E371" s="825"/>
      <c r="F371" s="825"/>
      <c r="G371" s="825"/>
      <c r="H371" s="825"/>
      <c r="I371" s="825"/>
      <c r="J371" s="825"/>
      <c r="K371" s="825"/>
      <c r="L371" s="825"/>
      <c r="M371" s="825"/>
      <c r="N371" s="825"/>
      <c r="O371" s="825"/>
    </row>
    <row r="372" spans="1:15" ht="16.5" customHeight="1" x14ac:dyDescent="0.3">
      <c r="A372" s="825"/>
      <c r="B372" s="825"/>
      <c r="C372" s="825"/>
      <c r="D372" s="825"/>
      <c r="E372" s="825"/>
      <c r="F372" s="825"/>
      <c r="G372" s="825"/>
      <c r="H372" s="825"/>
      <c r="I372" s="825"/>
      <c r="J372" s="825"/>
      <c r="K372" s="825"/>
      <c r="L372" s="825"/>
      <c r="M372" s="825"/>
      <c r="N372" s="825"/>
      <c r="O372" s="825"/>
    </row>
    <row r="373" spans="1:15" ht="16.5" customHeight="1" x14ac:dyDescent="0.3">
      <c r="A373" s="825"/>
      <c r="B373" s="825"/>
      <c r="C373" s="825"/>
      <c r="D373" s="825"/>
      <c r="E373" s="825"/>
      <c r="F373" s="825"/>
      <c r="G373" s="825"/>
      <c r="H373" s="825"/>
      <c r="I373" s="825"/>
      <c r="J373" s="825"/>
      <c r="K373" s="825"/>
      <c r="L373" s="825"/>
      <c r="M373" s="825"/>
      <c r="N373" s="825"/>
      <c r="O373" s="825"/>
    </row>
    <row r="374" spans="1:15" ht="16.5" customHeight="1" x14ac:dyDescent="0.3">
      <c r="A374" s="825"/>
      <c r="B374" s="825"/>
      <c r="C374" s="825"/>
      <c r="D374" s="825"/>
      <c r="E374" s="825"/>
      <c r="F374" s="825"/>
      <c r="G374" s="825"/>
      <c r="H374" s="825"/>
      <c r="I374" s="825"/>
      <c r="J374" s="825"/>
      <c r="K374" s="825"/>
      <c r="L374" s="825"/>
      <c r="M374" s="825"/>
      <c r="N374" s="825"/>
      <c r="O374" s="825"/>
    </row>
    <row r="375" spans="1:15" ht="16.5" customHeight="1" x14ac:dyDescent="0.3">
      <c r="A375" s="825"/>
      <c r="B375" s="825"/>
      <c r="C375" s="825"/>
      <c r="D375" s="825"/>
      <c r="E375" s="825"/>
      <c r="F375" s="825"/>
      <c r="G375" s="825"/>
      <c r="H375" s="825"/>
      <c r="I375" s="825"/>
      <c r="J375" s="825"/>
      <c r="K375" s="825"/>
      <c r="L375" s="825"/>
      <c r="M375" s="825"/>
      <c r="N375" s="825"/>
      <c r="O375" s="825"/>
    </row>
    <row r="376" spans="1:15" ht="16.5" customHeight="1" x14ac:dyDescent="0.3">
      <c r="A376" s="825"/>
      <c r="B376" s="825"/>
      <c r="C376" s="825"/>
      <c r="D376" s="825"/>
      <c r="E376" s="825"/>
      <c r="F376" s="825"/>
      <c r="G376" s="825"/>
      <c r="H376" s="825"/>
      <c r="I376" s="825"/>
      <c r="J376" s="825"/>
      <c r="K376" s="825"/>
      <c r="L376" s="825"/>
      <c r="M376" s="825"/>
      <c r="N376" s="825"/>
      <c r="O376" s="825"/>
    </row>
    <row r="377" spans="1:15" ht="16.5" customHeight="1" x14ac:dyDescent="0.3">
      <c r="A377" s="825"/>
      <c r="B377" s="825"/>
      <c r="C377" s="825"/>
      <c r="D377" s="825"/>
      <c r="E377" s="825"/>
      <c r="F377" s="825"/>
      <c r="G377" s="825"/>
      <c r="H377" s="825"/>
      <c r="I377" s="825"/>
      <c r="J377" s="825"/>
      <c r="K377" s="825"/>
      <c r="L377" s="825"/>
      <c r="M377" s="825"/>
      <c r="N377" s="825"/>
      <c r="O377" s="825"/>
    </row>
    <row r="378" spans="1:15" ht="16.5" customHeight="1" x14ac:dyDescent="0.3">
      <c r="A378" s="825"/>
      <c r="B378" s="825"/>
      <c r="C378" s="825"/>
      <c r="D378" s="825"/>
      <c r="E378" s="825"/>
      <c r="F378" s="825"/>
      <c r="G378" s="825"/>
      <c r="H378" s="825"/>
      <c r="I378" s="825"/>
      <c r="J378" s="825"/>
      <c r="K378" s="825"/>
      <c r="L378" s="825"/>
      <c r="M378" s="825"/>
      <c r="N378" s="825"/>
      <c r="O378" s="825"/>
    </row>
    <row r="379" spans="1:15" ht="16.5" customHeight="1" x14ac:dyDescent="0.3">
      <c r="A379" s="825"/>
      <c r="B379" s="825"/>
      <c r="C379" s="825"/>
      <c r="D379" s="825"/>
      <c r="E379" s="825"/>
      <c r="F379" s="825"/>
      <c r="G379" s="825"/>
      <c r="H379" s="825"/>
      <c r="I379" s="825"/>
      <c r="J379" s="825"/>
      <c r="K379" s="825"/>
      <c r="L379" s="825"/>
      <c r="M379" s="825"/>
      <c r="N379" s="825"/>
      <c r="O379" s="825"/>
    </row>
    <row r="380" spans="1:15" ht="16.5" customHeight="1" x14ac:dyDescent="0.3">
      <c r="A380" s="825"/>
      <c r="B380" s="825"/>
      <c r="C380" s="825"/>
      <c r="D380" s="825"/>
      <c r="E380" s="825"/>
      <c r="F380" s="825"/>
      <c r="G380" s="825"/>
      <c r="H380" s="825"/>
      <c r="I380" s="825"/>
      <c r="J380" s="825"/>
      <c r="K380" s="825"/>
      <c r="L380" s="825"/>
      <c r="M380" s="825"/>
      <c r="N380" s="825"/>
      <c r="O380" s="825"/>
    </row>
    <row r="381" spans="1:15" ht="16.5" customHeight="1" x14ac:dyDescent="0.3">
      <c r="A381" s="825"/>
      <c r="B381" s="825"/>
      <c r="C381" s="825"/>
      <c r="D381" s="825"/>
      <c r="E381" s="825"/>
      <c r="F381" s="825"/>
      <c r="G381" s="825"/>
      <c r="H381" s="825"/>
      <c r="I381" s="825"/>
      <c r="J381" s="825"/>
      <c r="K381" s="825"/>
      <c r="L381" s="825"/>
      <c r="M381" s="825"/>
      <c r="N381" s="825"/>
      <c r="O381" s="825"/>
    </row>
    <row r="382" spans="1:15" ht="16.5" customHeight="1" x14ac:dyDescent="0.3">
      <c r="A382" s="825"/>
      <c r="B382" s="825"/>
      <c r="C382" s="825"/>
      <c r="D382" s="825"/>
      <c r="E382" s="825"/>
      <c r="F382" s="825"/>
      <c r="G382" s="825"/>
      <c r="H382" s="825"/>
      <c r="I382" s="825"/>
      <c r="J382" s="825"/>
      <c r="K382" s="825"/>
      <c r="L382" s="825"/>
      <c r="M382" s="825"/>
      <c r="N382" s="825"/>
      <c r="O382" s="825"/>
    </row>
    <row r="383" spans="1:15" ht="16.5" customHeight="1" x14ac:dyDescent="0.3">
      <c r="A383" s="825"/>
      <c r="B383" s="825"/>
      <c r="C383" s="825"/>
      <c r="D383" s="825"/>
      <c r="E383" s="825"/>
      <c r="F383" s="825"/>
      <c r="G383" s="825"/>
      <c r="H383" s="825"/>
      <c r="I383" s="825"/>
      <c r="J383" s="825"/>
      <c r="K383" s="825"/>
      <c r="L383" s="825"/>
      <c r="M383" s="825"/>
      <c r="N383" s="825"/>
      <c r="O383" s="825"/>
    </row>
    <row r="384" spans="1:15" ht="16.5" customHeight="1" x14ac:dyDescent="0.3">
      <c r="A384" s="825"/>
      <c r="B384" s="825"/>
      <c r="C384" s="825"/>
      <c r="D384" s="825"/>
      <c r="E384" s="825"/>
      <c r="F384" s="825"/>
      <c r="G384" s="825"/>
      <c r="H384" s="825"/>
      <c r="I384" s="825"/>
      <c r="J384" s="825"/>
      <c r="K384" s="825"/>
      <c r="L384" s="825"/>
      <c r="M384" s="825"/>
      <c r="N384" s="825"/>
      <c r="O384" s="825"/>
    </row>
    <row r="385" spans="1:15" ht="16.5" customHeight="1" x14ac:dyDescent="0.3">
      <c r="A385" s="825"/>
      <c r="B385" s="825"/>
      <c r="C385" s="825"/>
      <c r="D385" s="825"/>
      <c r="E385" s="825"/>
      <c r="F385" s="825"/>
      <c r="G385" s="825"/>
      <c r="H385" s="825"/>
      <c r="I385" s="825"/>
      <c r="J385" s="825"/>
      <c r="K385" s="825"/>
      <c r="L385" s="825"/>
      <c r="M385" s="825"/>
      <c r="N385" s="825"/>
      <c r="O385" s="825"/>
    </row>
    <row r="386" spans="1:15" ht="16.5" customHeight="1" x14ac:dyDescent="0.3">
      <c r="A386" s="825"/>
      <c r="B386" s="825"/>
      <c r="C386" s="825"/>
      <c r="D386" s="825"/>
      <c r="E386" s="825"/>
      <c r="F386" s="825"/>
      <c r="G386" s="825"/>
      <c r="H386" s="825"/>
      <c r="I386" s="825"/>
      <c r="J386" s="825"/>
      <c r="K386" s="825"/>
      <c r="L386" s="825"/>
      <c r="M386" s="825"/>
      <c r="N386" s="825"/>
      <c r="O386" s="825"/>
    </row>
    <row r="387" spans="1:15" ht="16.5" customHeight="1" x14ac:dyDescent="0.3">
      <c r="A387" s="825"/>
      <c r="B387" s="825"/>
      <c r="C387" s="825"/>
      <c r="D387" s="825"/>
      <c r="E387" s="825"/>
      <c r="F387" s="825"/>
      <c r="G387" s="825"/>
      <c r="H387" s="825"/>
      <c r="I387" s="825"/>
      <c r="J387" s="825"/>
      <c r="K387" s="825"/>
      <c r="L387" s="825"/>
      <c r="M387" s="825"/>
      <c r="N387" s="825"/>
      <c r="O387" s="825"/>
    </row>
    <row r="388" spans="1:15" ht="16.5" customHeight="1" x14ac:dyDescent="0.3">
      <c r="A388" s="825"/>
      <c r="B388" s="825"/>
      <c r="C388" s="825"/>
      <c r="D388" s="825"/>
      <c r="E388" s="825"/>
      <c r="F388" s="825"/>
      <c r="G388" s="825"/>
      <c r="H388" s="825"/>
      <c r="I388" s="825"/>
      <c r="J388" s="825"/>
      <c r="K388" s="825"/>
      <c r="L388" s="825"/>
      <c r="M388" s="825"/>
      <c r="N388" s="825"/>
      <c r="O388" s="825"/>
    </row>
    <row r="389" spans="1:15" ht="16.5" customHeight="1" x14ac:dyDescent="0.3">
      <c r="A389" s="825"/>
      <c r="B389" s="825"/>
      <c r="C389" s="825"/>
      <c r="D389" s="825"/>
      <c r="E389" s="825"/>
      <c r="F389" s="825"/>
      <c r="G389" s="825"/>
      <c r="H389" s="825"/>
      <c r="I389" s="825"/>
      <c r="J389" s="825"/>
      <c r="K389" s="825"/>
      <c r="L389" s="825"/>
      <c r="M389" s="825"/>
      <c r="N389" s="825"/>
      <c r="O389" s="825"/>
    </row>
    <row r="390" spans="1:15" ht="16.5" customHeight="1" x14ac:dyDescent="0.3">
      <c r="A390" s="825"/>
      <c r="B390" s="825"/>
      <c r="C390" s="825"/>
      <c r="D390" s="825"/>
      <c r="E390" s="825"/>
      <c r="F390" s="825"/>
      <c r="G390" s="825"/>
      <c r="H390" s="825"/>
      <c r="I390" s="825"/>
      <c r="J390" s="825"/>
      <c r="K390" s="825"/>
      <c r="L390" s="825"/>
      <c r="M390" s="825"/>
      <c r="N390" s="825"/>
      <c r="O390" s="825"/>
    </row>
    <row r="391" spans="1:15" ht="16.5" customHeight="1" x14ac:dyDescent="0.3">
      <c r="A391" s="825"/>
      <c r="B391" s="825"/>
      <c r="C391" s="825"/>
      <c r="D391" s="825"/>
      <c r="E391" s="825"/>
      <c r="F391" s="825"/>
      <c r="G391" s="825"/>
      <c r="H391" s="825"/>
      <c r="I391" s="825"/>
      <c r="J391" s="825"/>
      <c r="K391" s="825"/>
      <c r="L391" s="825"/>
      <c r="M391" s="825"/>
      <c r="N391" s="825"/>
      <c r="O391" s="825"/>
    </row>
    <row r="392" spans="1:15" ht="16.5" customHeight="1" x14ac:dyDescent="0.3">
      <c r="A392" s="825"/>
      <c r="B392" s="825"/>
      <c r="C392" s="825"/>
      <c r="D392" s="825"/>
      <c r="E392" s="825"/>
      <c r="F392" s="825"/>
      <c r="G392" s="825"/>
      <c r="H392" s="825"/>
      <c r="I392" s="825"/>
      <c r="J392" s="825"/>
      <c r="K392" s="825"/>
      <c r="L392" s="825"/>
      <c r="M392" s="825"/>
      <c r="N392" s="825"/>
      <c r="O392" s="825"/>
    </row>
    <row r="393" spans="1:15" ht="16.5" customHeight="1" x14ac:dyDescent="0.3">
      <c r="A393" s="825"/>
      <c r="B393" s="825"/>
      <c r="C393" s="825"/>
      <c r="D393" s="825"/>
      <c r="E393" s="825"/>
      <c r="F393" s="825"/>
      <c r="G393" s="825"/>
      <c r="H393" s="825"/>
      <c r="I393" s="825"/>
      <c r="J393" s="825"/>
      <c r="K393" s="825"/>
      <c r="L393" s="825"/>
      <c r="M393" s="825"/>
      <c r="N393" s="825"/>
      <c r="O393" s="825"/>
    </row>
    <row r="394" spans="1:15" ht="16.5" customHeight="1" x14ac:dyDescent="0.3">
      <c r="A394" s="825"/>
      <c r="B394" s="825"/>
      <c r="C394" s="825"/>
      <c r="D394" s="825"/>
      <c r="E394" s="825"/>
      <c r="F394" s="825"/>
      <c r="G394" s="825"/>
      <c r="H394" s="825"/>
      <c r="I394" s="825"/>
      <c r="J394" s="825"/>
      <c r="K394" s="825"/>
      <c r="L394" s="825"/>
      <c r="M394" s="825"/>
      <c r="N394" s="825"/>
      <c r="O394" s="825"/>
    </row>
    <row r="395" spans="1:15" ht="16.5" customHeight="1" x14ac:dyDescent="0.3">
      <c r="A395" s="825"/>
      <c r="B395" s="825"/>
      <c r="C395" s="825"/>
      <c r="D395" s="825"/>
      <c r="E395" s="825"/>
      <c r="F395" s="825"/>
      <c r="G395" s="825"/>
      <c r="H395" s="825"/>
      <c r="I395" s="825"/>
      <c r="J395" s="825"/>
      <c r="K395" s="825"/>
      <c r="L395" s="825"/>
      <c r="M395" s="825"/>
      <c r="N395" s="825"/>
      <c r="O395" s="825"/>
    </row>
    <row r="396" spans="1:15" ht="16.5" customHeight="1" x14ac:dyDescent="0.3">
      <c r="A396" s="825"/>
      <c r="B396" s="825"/>
      <c r="C396" s="825"/>
      <c r="D396" s="825"/>
      <c r="E396" s="825"/>
      <c r="F396" s="825"/>
      <c r="G396" s="825"/>
      <c r="H396" s="825"/>
      <c r="I396" s="825"/>
      <c r="J396" s="825"/>
      <c r="K396" s="825"/>
      <c r="L396" s="825"/>
      <c r="M396" s="825"/>
      <c r="N396" s="825"/>
      <c r="O396" s="825"/>
    </row>
    <row r="397" spans="1:15" ht="16.5" customHeight="1" x14ac:dyDescent="0.3">
      <c r="A397" s="825"/>
      <c r="B397" s="825"/>
      <c r="C397" s="825"/>
      <c r="D397" s="825"/>
      <c r="E397" s="825"/>
      <c r="F397" s="825"/>
      <c r="G397" s="825"/>
      <c r="H397" s="825"/>
      <c r="I397" s="825"/>
      <c r="J397" s="825"/>
      <c r="K397" s="825"/>
      <c r="L397" s="825"/>
      <c r="M397" s="825"/>
      <c r="N397" s="825"/>
      <c r="O397" s="825"/>
    </row>
    <row r="398" spans="1:15" ht="16.5" customHeight="1" x14ac:dyDescent="0.3">
      <c r="A398" s="825"/>
      <c r="B398" s="825"/>
      <c r="C398" s="825"/>
      <c r="D398" s="825"/>
      <c r="E398" s="825"/>
      <c r="F398" s="825"/>
      <c r="G398" s="825"/>
      <c r="H398" s="825"/>
      <c r="I398" s="825"/>
      <c r="J398" s="825"/>
      <c r="K398" s="825"/>
      <c r="L398" s="825"/>
      <c r="M398" s="825"/>
      <c r="N398" s="825"/>
      <c r="O398" s="825"/>
    </row>
    <row r="399" spans="1:15" ht="16.5" customHeight="1" x14ac:dyDescent="0.3">
      <c r="A399" s="825"/>
      <c r="B399" s="825"/>
      <c r="C399" s="825"/>
      <c r="D399" s="825"/>
      <c r="E399" s="825"/>
      <c r="F399" s="825"/>
      <c r="G399" s="825"/>
      <c r="H399" s="825"/>
      <c r="I399" s="825"/>
      <c r="J399" s="825"/>
      <c r="K399" s="825"/>
      <c r="L399" s="825"/>
      <c r="M399" s="825"/>
      <c r="N399" s="825"/>
      <c r="O399" s="825"/>
    </row>
    <row r="400" spans="1:15" ht="16.5" customHeight="1" x14ac:dyDescent="0.3">
      <c r="A400" s="825"/>
      <c r="B400" s="825"/>
      <c r="C400" s="825"/>
      <c r="D400" s="825"/>
      <c r="E400" s="825"/>
      <c r="F400" s="825"/>
      <c r="G400" s="825"/>
      <c r="H400" s="825"/>
      <c r="I400" s="825"/>
      <c r="J400" s="825"/>
      <c r="K400" s="825"/>
      <c r="L400" s="825"/>
      <c r="M400" s="825"/>
      <c r="N400" s="825"/>
      <c r="O400" s="825"/>
    </row>
    <row r="401" spans="1:15" ht="16.5" customHeight="1" x14ac:dyDescent="0.3">
      <c r="A401" s="825"/>
      <c r="B401" s="825"/>
      <c r="C401" s="825"/>
      <c r="D401" s="825"/>
      <c r="E401" s="825"/>
      <c r="F401" s="825"/>
      <c r="G401" s="825"/>
      <c r="H401" s="825"/>
      <c r="I401" s="825"/>
      <c r="J401" s="825"/>
      <c r="K401" s="825"/>
      <c r="L401" s="825"/>
      <c r="M401" s="825"/>
      <c r="N401" s="825"/>
      <c r="O401" s="825"/>
    </row>
    <row r="402" spans="1:15" ht="16.5" customHeight="1" x14ac:dyDescent="0.3">
      <c r="A402" s="825"/>
      <c r="B402" s="825"/>
      <c r="C402" s="825"/>
      <c r="D402" s="825"/>
      <c r="E402" s="825"/>
      <c r="F402" s="825"/>
      <c r="G402" s="825"/>
      <c r="H402" s="825"/>
      <c r="I402" s="825"/>
      <c r="J402" s="825"/>
      <c r="K402" s="825"/>
      <c r="L402" s="825"/>
      <c r="M402" s="825"/>
      <c r="N402" s="825"/>
      <c r="O402" s="825"/>
    </row>
    <row r="403" spans="1:15" ht="16.5" customHeight="1" x14ac:dyDescent="0.3">
      <c r="A403" s="825"/>
      <c r="B403" s="825"/>
      <c r="C403" s="825"/>
      <c r="D403" s="825"/>
      <c r="E403" s="825"/>
      <c r="F403" s="825"/>
      <c r="G403" s="825"/>
      <c r="H403" s="825"/>
      <c r="I403" s="825"/>
      <c r="J403" s="825"/>
      <c r="K403" s="825"/>
      <c r="L403" s="825"/>
      <c r="M403" s="825"/>
      <c r="N403" s="825"/>
      <c r="O403" s="825"/>
    </row>
    <row r="404" spans="1:15" ht="16.5" customHeight="1" x14ac:dyDescent="0.3">
      <c r="A404" s="825"/>
      <c r="B404" s="825"/>
      <c r="C404" s="825"/>
      <c r="D404" s="825"/>
      <c r="E404" s="825"/>
      <c r="F404" s="825"/>
      <c r="G404" s="825"/>
      <c r="H404" s="825"/>
      <c r="I404" s="825"/>
      <c r="J404" s="825"/>
      <c r="K404" s="825"/>
      <c r="L404" s="825"/>
      <c r="M404" s="825"/>
      <c r="N404" s="825"/>
      <c r="O404" s="825"/>
    </row>
    <row r="405" spans="1:15" ht="16.5" customHeight="1" x14ac:dyDescent="0.3">
      <c r="A405" s="825"/>
      <c r="B405" s="825"/>
      <c r="C405" s="825"/>
      <c r="D405" s="825"/>
      <c r="E405" s="825"/>
      <c r="F405" s="825"/>
      <c r="G405" s="825"/>
      <c r="H405" s="825"/>
      <c r="I405" s="825"/>
      <c r="J405" s="825"/>
      <c r="K405" s="825"/>
      <c r="L405" s="825"/>
      <c r="M405" s="825"/>
      <c r="N405" s="825"/>
      <c r="O405" s="825"/>
    </row>
    <row r="406" spans="1:15" ht="16.5" customHeight="1" x14ac:dyDescent="0.3">
      <c r="A406" s="825"/>
      <c r="B406" s="825"/>
      <c r="C406" s="825"/>
      <c r="D406" s="825"/>
      <c r="E406" s="825"/>
      <c r="F406" s="825"/>
      <c r="G406" s="825"/>
      <c r="H406" s="825"/>
      <c r="I406" s="825"/>
      <c r="J406" s="825"/>
      <c r="K406" s="825"/>
      <c r="L406" s="825"/>
      <c r="M406" s="825"/>
      <c r="N406" s="825"/>
      <c r="O406" s="825"/>
    </row>
    <row r="407" spans="1:15" ht="16.5" customHeight="1" x14ac:dyDescent="0.3">
      <c r="A407" s="825"/>
      <c r="B407" s="825"/>
      <c r="C407" s="825"/>
      <c r="D407" s="825"/>
      <c r="E407" s="825"/>
      <c r="F407" s="825"/>
      <c r="G407" s="825"/>
      <c r="H407" s="825"/>
      <c r="I407" s="825"/>
      <c r="J407" s="825"/>
      <c r="K407" s="825"/>
      <c r="L407" s="825"/>
      <c r="M407" s="825"/>
      <c r="N407" s="825"/>
      <c r="O407" s="825"/>
    </row>
    <row r="408" spans="1:15" ht="16.5" customHeight="1" x14ac:dyDescent="0.3">
      <c r="A408" s="825"/>
      <c r="B408" s="825"/>
      <c r="C408" s="825"/>
      <c r="D408" s="825"/>
      <c r="E408" s="825"/>
      <c r="F408" s="825"/>
      <c r="G408" s="825"/>
      <c r="H408" s="825"/>
      <c r="I408" s="825"/>
      <c r="J408" s="825"/>
      <c r="K408" s="825"/>
      <c r="L408" s="825"/>
      <c r="M408" s="825"/>
      <c r="N408" s="825"/>
      <c r="O408" s="825"/>
    </row>
    <row r="409" spans="1:15" ht="16.5" customHeight="1" x14ac:dyDescent="0.3">
      <c r="A409" s="825"/>
      <c r="B409" s="825"/>
      <c r="C409" s="825"/>
      <c r="D409" s="825"/>
      <c r="E409" s="825"/>
      <c r="F409" s="825"/>
      <c r="G409" s="825"/>
      <c r="H409" s="825"/>
      <c r="I409" s="825"/>
      <c r="J409" s="825"/>
      <c r="K409" s="825"/>
      <c r="L409" s="825"/>
      <c r="M409" s="825"/>
      <c r="N409" s="825"/>
      <c r="O409" s="825"/>
    </row>
    <row r="410" spans="1:15" ht="16.5" customHeight="1" x14ac:dyDescent="0.3">
      <c r="A410" s="825"/>
      <c r="B410" s="825"/>
      <c r="C410" s="825"/>
      <c r="D410" s="825"/>
      <c r="E410" s="825"/>
      <c r="F410" s="825"/>
      <c r="G410" s="825"/>
      <c r="H410" s="825"/>
      <c r="I410" s="825"/>
      <c r="J410" s="825"/>
      <c r="K410" s="825"/>
      <c r="L410" s="825"/>
      <c r="M410" s="825"/>
      <c r="N410" s="825"/>
      <c r="O410" s="825"/>
    </row>
    <row r="411" spans="1:15" ht="16.5" customHeight="1" x14ac:dyDescent="0.3">
      <c r="A411" s="825"/>
      <c r="B411" s="825"/>
      <c r="C411" s="825"/>
      <c r="D411" s="825"/>
      <c r="E411" s="825"/>
      <c r="F411" s="825"/>
      <c r="G411" s="825"/>
      <c r="H411" s="825"/>
      <c r="I411" s="825"/>
      <c r="J411" s="825"/>
      <c r="K411" s="825"/>
      <c r="L411" s="825"/>
      <c r="M411" s="825"/>
      <c r="N411" s="825"/>
      <c r="O411" s="825"/>
    </row>
    <row r="412" spans="1:15" ht="16.5" customHeight="1" x14ac:dyDescent="0.3">
      <c r="A412" s="825"/>
      <c r="B412" s="825"/>
      <c r="C412" s="825"/>
      <c r="D412" s="825"/>
      <c r="E412" s="825"/>
      <c r="F412" s="825"/>
      <c r="G412" s="825"/>
      <c r="H412" s="825"/>
      <c r="I412" s="825"/>
      <c r="J412" s="825"/>
      <c r="K412" s="825"/>
      <c r="L412" s="825"/>
      <c r="M412" s="825"/>
      <c r="N412" s="825"/>
      <c r="O412" s="825"/>
    </row>
    <row r="413" spans="1:15" ht="16.5" customHeight="1" x14ac:dyDescent="0.3">
      <c r="A413" s="825"/>
      <c r="B413" s="825"/>
      <c r="C413" s="825"/>
      <c r="D413" s="825"/>
      <c r="E413" s="825"/>
      <c r="F413" s="825"/>
      <c r="G413" s="825"/>
      <c r="H413" s="825"/>
      <c r="I413" s="825"/>
      <c r="J413" s="825"/>
      <c r="K413" s="825"/>
      <c r="L413" s="825"/>
      <c r="M413" s="825"/>
      <c r="N413" s="825"/>
      <c r="O413" s="825"/>
    </row>
    <row r="414" spans="1:15" ht="16.5" customHeight="1" x14ac:dyDescent="0.3">
      <c r="A414" s="825"/>
      <c r="B414" s="825"/>
      <c r="C414" s="825"/>
      <c r="D414" s="825"/>
      <c r="E414" s="825"/>
      <c r="F414" s="825"/>
      <c r="G414" s="825"/>
      <c r="H414" s="825"/>
      <c r="I414" s="825"/>
      <c r="J414" s="825"/>
      <c r="K414" s="825"/>
      <c r="L414" s="825"/>
      <c r="M414" s="825"/>
      <c r="N414" s="825"/>
      <c r="O414" s="825"/>
    </row>
    <row r="415" spans="1:15" ht="16.5" customHeight="1" x14ac:dyDescent="0.3">
      <c r="A415" s="825"/>
      <c r="B415" s="825"/>
      <c r="C415" s="825"/>
      <c r="D415" s="825"/>
      <c r="E415" s="825"/>
      <c r="F415" s="825"/>
      <c r="G415" s="825"/>
      <c r="H415" s="825"/>
      <c r="I415" s="825"/>
      <c r="J415" s="825"/>
      <c r="K415" s="825"/>
      <c r="L415" s="825"/>
      <c r="M415" s="825"/>
      <c r="N415" s="825"/>
      <c r="O415" s="825"/>
    </row>
    <row r="416" spans="1:15" ht="16.5" customHeight="1" x14ac:dyDescent="0.3">
      <c r="A416" s="825"/>
      <c r="B416" s="825"/>
      <c r="C416" s="825"/>
      <c r="D416" s="825"/>
      <c r="E416" s="825"/>
      <c r="F416" s="825"/>
      <c r="G416" s="825"/>
      <c r="H416" s="825"/>
      <c r="I416" s="825"/>
      <c r="J416" s="825"/>
      <c r="K416" s="825"/>
      <c r="L416" s="825"/>
      <c r="M416" s="825"/>
      <c r="N416" s="825"/>
      <c r="O416" s="825"/>
    </row>
    <row r="417" spans="1:15" ht="16.5" customHeight="1" x14ac:dyDescent="0.3">
      <c r="A417" s="825"/>
      <c r="B417" s="825"/>
      <c r="C417" s="825"/>
      <c r="D417" s="825"/>
      <c r="E417" s="825"/>
      <c r="F417" s="825"/>
      <c r="G417" s="825"/>
      <c r="H417" s="825"/>
      <c r="I417" s="825"/>
      <c r="J417" s="825"/>
      <c r="K417" s="825"/>
      <c r="L417" s="825"/>
      <c r="M417" s="825"/>
      <c r="N417" s="825"/>
      <c r="O417" s="825"/>
    </row>
    <row r="418" spans="1:15" ht="16.5" customHeight="1" x14ac:dyDescent="0.3">
      <c r="A418" s="825"/>
      <c r="B418" s="825"/>
      <c r="C418" s="825"/>
      <c r="D418" s="825"/>
      <c r="E418" s="825"/>
      <c r="F418" s="825"/>
      <c r="G418" s="825"/>
      <c r="H418" s="825"/>
      <c r="I418" s="825"/>
      <c r="J418" s="825"/>
      <c r="K418" s="825"/>
      <c r="L418" s="825"/>
      <c r="M418" s="825"/>
      <c r="N418" s="825"/>
      <c r="O418" s="825"/>
    </row>
    <row r="419" spans="1:15" ht="16.5" customHeight="1" x14ac:dyDescent="0.3">
      <c r="A419" s="825"/>
      <c r="B419" s="825"/>
      <c r="C419" s="825"/>
      <c r="D419" s="825"/>
      <c r="E419" s="825"/>
      <c r="F419" s="825"/>
      <c r="G419" s="825"/>
      <c r="H419" s="825"/>
      <c r="I419" s="825"/>
      <c r="J419" s="825"/>
      <c r="K419" s="825"/>
      <c r="L419" s="825"/>
      <c r="M419" s="825"/>
      <c r="N419" s="825"/>
      <c r="O419" s="825"/>
    </row>
    <row r="420" spans="1:15" ht="16.5" customHeight="1" x14ac:dyDescent="0.3">
      <c r="A420" s="825"/>
      <c r="B420" s="825"/>
      <c r="C420" s="825"/>
      <c r="D420" s="825"/>
      <c r="E420" s="825"/>
      <c r="F420" s="825"/>
      <c r="G420" s="825"/>
      <c r="H420" s="825"/>
      <c r="I420" s="825"/>
      <c r="J420" s="825"/>
      <c r="K420" s="825"/>
      <c r="L420" s="825"/>
      <c r="M420" s="825"/>
      <c r="N420" s="825"/>
      <c r="O420" s="825"/>
    </row>
    <row r="421" spans="1:15" ht="16.5" customHeight="1" x14ac:dyDescent="0.3">
      <c r="A421" s="825"/>
      <c r="B421" s="825"/>
      <c r="C421" s="825"/>
      <c r="D421" s="825"/>
      <c r="E421" s="825"/>
      <c r="F421" s="825"/>
      <c r="G421" s="825"/>
      <c r="H421" s="825"/>
      <c r="I421" s="825"/>
      <c r="J421" s="825"/>
      <c r="K421" s="825"/>
      <c r="L421" s="825"/>
      <c r="M421" s="825"/>
      <c r="N421" s="825"/>
      <c r="O421" s="825"/>
    </row>
    <row r="422" spans="1:15" ht="16.5" customHeight="1" x14ac:dyDescent="0.3">
      <c r="A422" s="825"/>
      <c r="B422" s="825"/>
      <c r="C422" s="825"/>
      <c r="D422" s="825"/>
      <c r="E422" s="825"/>
      <c r="F422" s="825"/>
      <c r="G422" s="825"/>
      <c r="H422" s="825"/>
      <c r="I422" s="825"/>
      <c r="J422" s="825"/>
      <c r="K422" s="825"/>
      <c r="L422" s="825"/>
      <c r="M422" s="825"/>
      <c r="N422" s="825"/>
      <c r="O422" s="825"/>
    </row>
    <row r="423" spans="1:15" ht="16.5" customHeight="1" x14ac:dyDescent="0.3">
      <c r="A423" s="825"/>
      <c r="B423" s="825"/>
      <c r="C423" s="825"/>
      <c r="D423" s="825"/>
      <c r="E423" s="825"/>
      <c r="F423" s="825"/>
      <c r="G423" s="825"/>
      <c r="H423" s="825"/>
      <c r="I423" s="825"/>
      <c r="J423" s="825"/>
      <c r="K423" s="825"/>
      <c r="L423" s="825"/>
      <c r="M423" s="825"/>
      <c r="N423" s="825"/>
      <c r="O423" s="825"/>
    </row>
    <row r="424" spans="1:15" ht="16.5" customHeight="1" x14ac:dyDescent="0.3">
      <c r="A424" s="825"/>
      <c r="B424" s="825"/>
      <c r="C424" s="825"/>
      <c r="D424" s="825"/>
      <c r="E424" s="825"/>
      <c r="F424" s="825"/>
      <c r="G424" s="825"/>
      <c r="H424" s="825"/>
      <c r="I424" s="825"/>
      <c r="J424" s="825"/>
      <c r="K424" s="825"/>
      <c r="L424" s="825"/>
      <c r="M424" s="825"/>
      <c r="N424" s="825"/>
      <c r="O424" s="825"/>
    </row>
    <row r="425" spans="1:15" ht="16.5" customHeight="1" x14ac:dyDescent="0.3">
      <c r="A425" s="825"/>
      <c r="B425" s="825"/>
      <c r="C425" s="825"/>
      <c r="D425" s="825"/>
      <c r="E425" s="825"/>
      <c r="F425" s="825"/>
      <c r="G425" s="825"/>
      <c r="H425" s="825"/>
      <c r="I425" s="825"/>
      <c r="J425" s="825"/>
      <c r="K425" s="825"/>
      <c r="L425" s="825"/>
      <c r="M425" s="825"/>
      <c r="N425" s="825"/>
      <c r="O425" s="825"/>
    </row>
    <row r="426" spans="1:15" ht="16.5" customHeight="1" x14ac:dyDescent="0.3">
      <c r="A426" s="825"/>
      <c r="B426" s="825"/>
      <c r="C426" s="825"/>
      <c r="D426" s="825"/>
      <c r="E426" s="825"/>
      <c r="F426" s="825"/>
      <c r="G426" s="825"/>
      <c r="H426" s="825"/>
      <c r="I426" s="825"/>
      <c r="J426" s="825"/>
      <c r="K426" s="825"/>
      <c r="L426" s="825"/>
      <c r="M426" s="825"/>
      <c r="N426" s="825"/>
      <c r="O426" s="825"/>
    </row>
    <row r="427" spans="1:15" ht="16.5" customHeight="1" x14ac:dyDescent="0.3">
      <c r="A427" s="825"/>
      <c r="B427" s="825"/>
      <c r="C427" s="825"/>
      <c r="D427" s="825"/>
      <c r="E427" s="825"/>
      <c r="F427" s="825"/>
      <c r="G427" s="825"/>
      <c r="H427" s="825"/>
      <c r="I427" s="825"/>
      <c r="J427" s="825"/>
      <c r="K427" s="825"/>
      <c r="L427" s="825"/>
      <c r="M427" s="825"/>
      <c r="N427" s="825"/>
      <c r="O427" s="825"/>
    </row>
    <row r="428" spans="1:15" ht="16.5" customHeight="1" x14ac:dyDescent="0.3">
      <c r="A428" s="825"/>
      <c r="B428" s="825"/>
      <c r="C428" s="825"/>
      <c r="D428" s="825"/>
      <c r="E428" s="825"/>
      <c r="F428" s="825"/>
      <c r="G428" s="825"/>
      <c r="H428" s="825"/>
      <c r="I428" s="825"/>
      <c r="J428" s="825"/>
      <c r="K428" s="825"/>
      <c r="L428" s="825"/>
      <c r="M428" s="825"/>
      <c r="N428" s="825"/>
      <c r="O428" s="825"/>
    </row>
    <row r="429" spans="1:15" ht="16.5" customHeight="1" x14ac:dyDescent="0.3">
      <c r="A429" s="825"/>
      <c r="B429" s="825"/>
      <c r="C429" s="825"/>
      <c r="D429" s="825"/>
      <c r="E429" s="825"/>
      <c r="F429" s="825"/>
      <c r="G429" s="825"/>
      <c r="H429" s="825"/>
      <c r="I429" s="825"/>
      <c r="J429" s="825"/>
      <c r="K429" s="825"/>
      <c r="L429" s="825"/>
      <c r="M429" s="825"/>
      <c r="N429" s="825"/>
      <c r="O429" s="825"/>
    </row>
    <row r="430" spans="1:15" ht="16.5" customHeight="1" x14ac:dyDescent="0.3">
      <c r="A430" s="825"/>
      <c r="B430" s="825"/>
      <c r="C430" s="825"/>
      <c r="D430" s="825"/>
      <c r="E430" s="825"/>
      <c r="F430" s="825"/>
      <c r="G430" s="825"/>
      <c r="H430" s="825"/>
      <c r="I430" s="825"/>
      <c r="J430" s="825"/>
      <c r="K430" s="825"/>
      <c r="L430" s="825"/>
      <c r="M430" s="825"/>
      <c r="N430" s="825"/>
      <c r="O430" s="825"/>
    </row>
    <row r="431" spans="1:15" ht="16.5" customHeight="1" x14ac:dyDescent="0.3">
      <c r="A431" s="825"/>
      <c r="B431" s="825"/>
      <c r="C431" s="825"/>
      <c r="D431" s="825"/>
      <c r="E431" s="825"/>
      <c r="F431" s="825"/>
      <c r="G431" s="825"/>
      <c r="H431" s="825"/>
      <c r="I431" s="825"/>
      <c r="J431" s="825"/>
      <c r="K431" s="825"/>
      <c r="L431" s="825"/>
      <c r="M431" s="825"/>
      <c r="N431" s="825"/>
      <c r="O431" s="825"/>
    </row>
    <row r="432" spans="1:15" ht="16.5" customHeight="1" x14ac:dyDescent="0.3">
      <c r="A432" s="825"/>
      <c r="B432" s="825"/>
      <c r="C432" s="825"/>
      <c r="D432" s="825"/>
      <c r="E432" s="825"/>
      <c r="F432" s="825"/>
      <c r="G432" s="825"/>
      <c r="H432" s="825"/>
      <c r="I432" s="825"/>
      <c r="J432" s="825"/>
      <c r="K432" s="825"/>
      <c r="L432" s="825"/>
      <c r="M432" s="825"/>
      <c r="N432" s="825"/>
      <c r="O432" s="825"/>
    </row>
    <row r="433" spans="1:15" ht="16.5" customHeight="1" x14ac:dyDescent="0.3">
      <c r="A433" s="825"/>
      <c r="B433" s="825"/>
      <c r="C433" s="825"/>
      <c r="D433" s="825"/>
      <c r="E433" s="825"/>
      <c r="F433" s="825"/>
      <c r="G433" s="825"/>
      <c r="H433" s="825"/>
      <c r="I433" s="825"/>
      <c r="J433" s="825"/>
      <c r="K433" s="825"/>
      <c r="L433" s="825"/>
      <c r="M433" s="825"/>
      <c r="N433" s="825"/>
      <c r="O433" s="825"/>
    </row>
    <row r="434" spans="1:15" ht="16.5" customHeight="1" x14ac:dyDescent="0.3">
      <c r="A434" s="825"/>
      <c r="B434" s="825"/>
      <c r="C434" s="825"/>
      <c r="D434" s="825"/>
      <c r="E434" s="825"/>
      <c r="F434" s="825"/>
      <c r="G434" s="825"/>
      <c r="H434" s="825"/>
      <c r="I434" s="825"/>
      <c r="J434" s="825"/>
      <c r="K434" s="825"/>
      <c r="L434" s="825"/>
      <c r="M434" s="825"/>
      <c r="N434" s="825"/>
      <c r="O434" s="825"/>
    </row>
    <row r="435" spans="1:15" ht="16.5" customHeight="1" x14ac:dyDescent="0.3">
      <c r="A435" s="825"/>
      <c r="B435" s="825"/>
      <c r="C435" s="825"/>
      <c r="D435" s="825"/>
      <c r="E435" s="825"/>
      <c r="F435" s="825"/>
      <c r="G435" s="825"/>
      <c r="H435" s="825"/>
      <c r="I435" s="825"/>
      <c r="J435" s="825"/>
      <c r="K435" s="825"/>
      <c r="L435" s="825"/>
      <c r="M435" s="825"/>
      <c r="N435" s="825"/>
      <c r="O435" s="825"/>
    </row>
    <row r="436" spans="1:15" ht="16.5" customHeight="1" x14ac:dyDescent="0.3">
      <c r="A436" s="825"/>
      <c r="B436" s="825"/>
      <c r="C436" s="825"/>
      <c r="D436" s="825"/>
      <c r="E436" s="825"/>
      <c r="F436" s="825"/>
      <c r="G436" s="825"/>
      <c r="H436" s="825"/>
      <c r="I436" s="825"/>
      <c r="J436" s="825"/>
      <c r="K436" s="825"/>
      <c r="L436" s="825"/>
      <c r="M436" s="825"/>
      <c r="N436" s="825"/>
      <c r="O436" s="825"/>
    </row>
    <row r="437" spans="1:15" ht="16.5" customHeight="1" x14ac:dyDescent="0.3">
      <c r="A437" s="825"/>
      <c r="B437" s="825"/>
      <c r="C437" s="825"/>
      <c r="D437" s="825"/>
      <c r="E437" s="825"/>
      <c r="F437" s="825"/>
      <c r="G437" s="825"/>
      <c r="H437" s="825"/>
      <c r="I437" s="825"/>
      <c r="J437" s="825"/>
      <c r="K437" s="825"/>
      <c r="L437" s="825"/>
      <c r="M437" s="825"/>
      <c r="N437" s="825"/>
      <c r="O437" s="825"/>
    </row>
    <row r="438" spans="1:15" ht="16.5" customHeight="1" x14ac:dyDescent="0.3">
      <c r="A438" s="825"/>
      <c r="B438" s="825"/>
      <c r="C438" s="825"/>
      <c r="D438" s="825"/>
      <c r="E438" s="825"/>
      <c r="F438" s="825"/>
      <c r="G438" s="825"/>
      <c r="H438" s="825"/>
      <c r="I438" s="825"/>
      <c r="J438" s="825"/>
      <c r="K438" s="825"/>
      <c r="L438" s="825"/>
      <c r="M438" s="825"/>
      <c r="N438" s="825"/>
      <c r="O438" s="825"/>
    </row>
    <row r="439" spans="1:15" ht="16.5" customHeight="1" x14ac:dyDescent="0.3">
      <c r="A439" s="825"/>
      <c r="B439" s="825"/>
      <c r="C439" s="825"/>
      <c r="D439" s="825"/>
      <c r="E439" s="825"/>
      <c r="F439" s="825"/>
      <c r="G439" s="825"/>
      <c r="H439" s="825"/>
      <c r="I439" s="825"/>
      <c r="J439" s="825"/>
      <c r="K439" s="825"/>
      <c r="L439" s="825"/>
      <c r="M439" s="825"/>
      <c r="N439" s="825"/>
      <c r="O439" s="825"/>
    </row>
    <row r="440" spans="1:15" ht="16.5" customHeight="1" x14ac:dyDescent="0.3">
      <c r="A440" s="825"/>
      <c r="B440" s="825"/>
      <c r="C440" s="825"/>
      <c r="D440" s="825"/>
      <c r="E440" s="825"/>
      <c r="F440" s="825"/>
      <c r="G440" s="825"/>
      <c r="H440" s="825"/>
      <c r="I440" s="825"/>
      <c r="J440" s="825"/>
      <c r="K440" s="825"/>
      <c r="L440" s="825"/>
      <c r="M440" s="825"/>
      <c r="N440" s="825"/>
      <c r="O440" s="825"/>
    </row>
    <row r="441" spans="1:15" ht="16.5" customHeight="1" x14ac:dyDescent="0.3">
      <c r="A441" s="825"/>
      <c r="B441" s="825"/>
      <c r="C441" s="825"/>
      <c r="D441" s="825"/>
      <c r="E441" s="825"/>
      <c r="F441" s="825"/>
      <c r="G441" s="825"/>
      <c r="H441" s="825"/>
      <c r="I441" s="825"/>
      <c r="J441" s="825"/>
      <c r="K441" s="825"/>
      <c r="L441" s="825"/>
      <c r="M441" s="825"/>
      <c r="N441" s="825"/>
      <c r="O441" s="825"/>
    </row>
    <row r="442" spans="1:15" ht="16.5" customHeight="1" x14ac:dyDescent="0.3">
      <c r="A442" s="825"/>
      <c r="B442" s="825"/>
      <c r="C442" s="825"/>
      <c r="D442" s="825"/>
      <c r="E442" s="825"/>
      <c r="F442" s="825"/>
      <c r="G442" s="825"/>
      <c r="H442" s="825"/>
      <c r="I442" s="825"/>
      <c r="J442" s="825"/>
      <c r="K442" s="825"/>
      <c r="L442" s="825"/>
      <c r="M442" s="825"/>
      <c r="N442" s="825"/>
      <c r="O442" s="825"/>
    </row>
    <row r="443" spans="1:15" ht="16.5" customHeight="1" x14ac:dyDescent="0.3">
      <c r="A443" s="825"/>
      <c r="B443" s="825"/>
      <c r="C443" s="825"/>
      <c r="D443" s="825"/>
      <c r="E443" s="825"/>
      <c r="F443" s="825"/>
      <c r="G443" s="825"/>
      <c r="H443" s="825"/>
      <c r="I443" s="825"/>
      <c r="J443" s="825"/>
      <c r="K443" s="825"/>
      <c r="L443" s="825"/>
      <c r="M443" s="825"/>
      <c r="N443" s="825"/>
      <c r="O443" s="825"/>
    </row>
    <row r="444" spans="1:15" ht="16.5" customHeight="1" x14ac:dyDescent="0.3">
      <c r="A444" s="825"/>
      <c r="B444" s="825"/>
      <c r="C444" s="825"/>
      <c r="D444" s="825"/>
      <c r="E444" s="825"/>
      <c r="F444" s="825"/>
      <c r="G444" s="825"/>
      <c r="H444" s="825"/>
      <c r="I444" s="825"/>
      <c r="J444" s="825"/>
      <c r="K444" s="825"/>
      <c r="L444" s="825"/>
      <c r="M444" s="825"/>
      <c r="N444" s="825"/>
      <c r="O444" s="825"/>
    </row>
    <row r="445" spans="1:15" ht="16.5" customHeight="1" x14ac:dyDescent="0.3">
      <c r="A445" s="825"/>
      <c r="B445" s="825"/>
      <c r="C445" s="825"/>
      <c r="D445" s="825"/>
      <c r="E445" s="825"/>
      <c r="F445" s="825"/>
      <c r="G445" s="825"/>
      <c r="H445" s="825"/>
      <c r="I445" s="825"/>
      <c r="J445" s="825"/>
      <c r="K445" s="825"/>
      <c r="L445" s="825"/>
      <c r="M445" s="825"/>
      <c r="N445" s="825"/>
      <c r="O445" s="825"/>
    </row>
    <row r="446" spans="1:15" ht="16.5" customHeight="1" x14ac:dyDescent="0.3">
      <c r="A446" s="825"/>
      <c r="B446" s="825"/>
      <c r="C446" s="825"/>
      <c r="D446" s="825"/>
      <c r="E446" s="825"/>
      <c r="F446" s="825"/>
      <c r="G446" s="825"/>
      <c r="H446" s="825"/>
      <c r="I446" s="825"/>
      <c r="J446" s="825"/>
      <c r="K446" s="825"/>
      <c r="L446" s="825"/>
      <c r="M446" s="825"/>
      <c r="N446" s="825"/>
      <c r="O446" s="825"/>
    </row>
    <row r="447" spans="1:15" ht="16.5" customHeight="1" x14ac:dyDescent="0.3">
      <c r="A447" s="825"/>
      <c r="B447" s="825"/>
      <c r="C447" s="825"/>
      <c r="D447" s="825"/>
      <c r="E447" s="825"/>
      <c r="F447" s="825"/>
      <c r="G447" s="825"/>
      <c r="H447" s="825"/>
      <c r="I447" s="825"/>
      <c r="J447" s="825"/>
      <c r="K447" s="825"/>
      <c r="L447" s="825"/>
      <c r="M447" s="825"/>
      <c r="N447" s="825"/>
      <c r="O447" s="825"/>
    </row>
    <row r="448" spans="1:15" ht="16.5" customHeight="1" x14ac:dyDescent="0.3">
      <c r="A448" s="825"/>
      <c r="B448" s="825"/>
      <c r="C448" s="825"/>
      <c r="D448" s="825"/>
      <c r="E448" s="825"/>
      <c r="F448" s="825"/>
      <c r="G448" s="825"/>
      <c r="H448" s="825"/>
      <c r="I448" s="825"/>
      <c r="J448" s="825"/>
      <c r="K448" s="825"/>
      <c r="L448" s="825"/>
      <c r="M448" s="825"/>
      <c r="N448" s="825"/>
      <c r="O448" s="825"/>
    </row>
    <row r="449" spans="1:15" ht="16.5" customHeight="1" x14ac:dyDescent="0.3">
      <c r="A449" s="825"/>
      <c r="B449" s="825"/>
      <c r="C449" s="825"/>
      <c r="D449" s="825"/>
      <c r="E449" s="825"/>
      <c r="F449" s="825"/>
      <c r="G449" s="825"/>
      <c r="H449" s="825"/>
      <c r="I449" s="825"/>
      <c r="J449" s="825"/>
      <c r="K449" s="825"/>
      <c r="L449" s="825"/>
      <c r="M449" s="825"/>
      <c r="N449" s="825"/>
      <c r="O449" s="825"/>
    </row>
    <row r="450" spans="1:15" ht="16.5" customHeight="1" x14ac:dyDescent="0.3">
      <c r="A450" s="825"/>
      <c r="B450" s="825"/>
      <c r="C450" s="825"/>
      <c r="D450" s="825"/>
      <c r="E450" s="825"/>
      <c r="F450" s="825"/>
      <c r="G450" s="825"/>
      <c r="H450" s="825"/>
      <c r="I450" s="825"/>
      <c r="J450" s="825"/>
      <c r="K450" s="825"/>
      <c r="L450" s="825"/>
      <c r="M450" s="825"/>
      <c r="N450" s="825"/>
      <c r="O450" s="825"/>
    </row>
    <row r="451" spans="1:15" ht="16.5" customHeight="1" x14ac:dyDescent="0.3">
      <c r="A451" s="825"/>
      <c r="B451" s="825"/>
      <c r="C451" s="825"/>
      <c r="D451" s="825"/>
      <c r="E451" s="825"/>
      <c r="F451" s="825"/>
      <c r="G451" s="825"/>
      <c r="H451" s="825"/>
      <c r="I451" s="825"/>
      <c r="J451" s="825"/>
      <c r="K451" s="825"/>
      <c r="L451" s="825"/>
      <c r="M451" s="825"/>
      <c r="N451" s="825"/>
      <c r="O451" s="825"/>
    </row>
    <row r="452" spans="1:15" ht="16.5" customHeight="1" x14ac:dyDescent="0.3">
      <c r="A452" s="825"/>
      <c r="B452" s="825"/>
      <c r="C452" s="825"/>
      <c r="D452" s="825"/>
      <c r="E452" s="825"/>
      <c r="F452" s="825"/>
      <c r="G452" s="825"/>
      <c r="H452" s="825"/>
      <c r="I452" s="825"/>
      <c r="J452" s="825"/>
      <c r="K452" s="825"/>
      <c r="L452" s="825"/>
      <c r="M452" s="825"/>
      <c r="N452" s="825"/>
      <c r="O452" s="825"/>
    </row>
    <row r="453" spans="1:15" ht="16.5" customHeight="1" x14ac:dyDescent="0.3">
      <c r="A453" s="825"/>
      <c r="B453" s="825"/>
      <c r="C453" s="825"/>
      <c r="D453" s="825"/>
      <c r="E453" s="825"/>
      <c r="F453" s="825"/>
      <c r="G453" s="825"/>
      <c r="H453" s="825"/>
      <c r="I453" s="825"/>
      <c r="J453" s="825"/>
      <c r="K453" s="825"/>
      <c r="L453" s="825"/>
      <c r="M453" s="825"/>
      <c r="N453" s="825"/>
      <c r="O453" s="825"/>
    </row>
    <row r="454" spans="1:15" ht="16.5" customHeight="1" x14ac:dyDescent="0.3">
      <c r="A454" s="825"/>
      <c r="B454" s="825"/>
      <c r="C454" s="825"/>
      <c r="D454" s="825"/>
      <c r="E454" s="825"/>
      <c r="F454" s="825"/>
      <c r="G454" s="825"/>
      <c r="H454" s="825"/>
      <c r="I454" s="825"/>
      <c r="J454" s="825"/>
      <c r="K454" s="825"/>
      <c r="L454" s="825"/>
      <c r="M454" s="825"/>
      <c r="N454" s="825"/>
      <c r="O454" s="825"/>
    </row>
    <row r="455" spans="1:15" ht="16.5" customHeight="1" x14ac:dyDescent="0.3">
      <c r="A455" s="825"/>
      <c r="B455" s="825"/>
      <c r="C455" s="825"/>
      <c r="D455" s="825"/>
      <c r="E455" s="825"/>
      <c r="F455" s="825"/>
      <c r="G455" s="825"/>
      <c r="H455" s="825"/>
      <c r="I455" s="825"/>
      <c r="J455" s="825"/>
      <c r="K455" s="825"/>
      <c r="L455" s="825"/>
      <c r="M455" s="825"/>
      <c r="N455" s="825"/>
      <c r="O455" s="825"/>
    </row>
    <row r="456" spans="1:15" ht="16.5" customHeight="1" x14ac:dyDescent="0.3">
      <c r="A456" s="825"/>
      <c r="B456" s="825"/>
      <c r="C456" s="825"/>
      <c r="D456" s="825"/>
      <c r="E456" s="825"/>
      <c r="F456" s="825"/>
      <c r="G456" s="825"/>
      <c r="H456" s="825"/>
      <c r="I456" s="825"/>
      <c r="J456" s="825"/>
      <c r="K456" s="825"/>
      <c r="L456" s="825"/>
      <c r="M456" s="825"/>
      <c r="N456" s="825"/>
      <c r="O456" s="825"/>
    </row>
    <row r="457" spans="1:15" ht="16.5" customHeight="1" x14ac:dyDescent="0.3">
      <c r="A457" s="825"/>
      <c r="B457" s="825"/>
      <c r="C457" s="825"/>
      <c r="D457" s="825"/>
      <c r="E457" s="825"/>
      <c r="F457" s="825"/>
      <c r="G457" s="825"/>
      <c r="H457" s="825"/>
      <c r="I457" s="825"/>
      <c r="J457" s="825"/>
      <c r="K457" s="825"/>
      <c r="L457" s="825"/>
      <c r="M457" s="825"/>
      <c r="N457" s="825"/>
      <c r="O457" s="825"/>
    </row>
    <row r="458" spans="1:15" ht="16.5" customHeight="1" x14ac:dyDescent="0.3">
      <c r="A458" s="825"/>
      <c r="B458" s="825"/>
      <c r="C458" s="825"/>
      <c r="D458" s="825"/>
      <c r="E458" s="825"/>
      <c r="F458" s="825"/>
      <c r="G458" s="825"/>
      <c r="H458" s="825"/>
      <c r="I458" s="825"/>
      <c r="J458" s="825"/>
      <c r="K458" s="825"/>
      <c r="L458" s="825"/>
      <c r="M458" s="825"/>
      <c r="N458" s="825"/>
      <c r="O458" s="825"/>
    </row>
    <row r="459" spans="1:15" ht="16.5" customHeight="1" x14ac:dyDescent="0.3">
      <c r="A459" s="825"/>
      <c r="B459" s="825"/>
      <c r="C459" s="825"/>
      <c r="D459" s="825"/>
      <c r="E459" s="825"/>
      <c r="F459" s="825"/>
      <c r="G459" s="825"/>
      <c r="H459" s="825"/>
      <c r="I459" s="825"/>
      <c r="J459" s="825"/>
      <c r="K459" s="825"/>
      <c r="L459" s="825"/>
      <c r="M459" s="825"/>
      <c r="N459" s="825"/>
      <c r="O459" s="825"/>
    </row>
    <row r="460" spans="1:15" ht="16.5" customHeight="1" x14ac:dyDescent="0.3">
      <c r="A460" s="825"/>
      <c r="B460" s="825"/>
      <c r="C460" s="825"/>
      <c r="D460" s="825"/>
      <c r="E460" s="825"/>
      <c r="F460" s="825"/>
      <c r="G460" s="825"/>
      <c r="H460" s="825"/>
      <c r="I460" s="825"/>
      <c r="J460" s="825"/>
      <c r="K460" s="825"/>
      <c r="L460" s="825"/>
      <c r="M460" s="825"/>
      <c r="N460" s="825"/>
      <c r="O460" s="825"/>
    </row>
    <row r="461" spans="1:15" ht="16.5" customHeight="1" x14ac:dyDescent="0.3">
      <c r="A461" s="825"/>
      <c r="B461" s="825"/>
      <c r="C461" s="825"/>
      <c r="D461" s="825"/>
      <c r="E461" s="825"/>
      <c r="F461" s="825"/>
      <c r="G461" s="825"/>
      <c r="H461" s="825"/>
      <c r="I461" s="825"/>
      <c r="J461" s="825"/>
      <c r="K461" s="825"/>
      <c r="L461" s="825"/>
      <c r="M461" s="825"/>
      <c r="N461" s="825"/>
      <c r="O461" s="825"/>
    </row>
    <row r="462" spans="1:15" ht="16.5" customHeight="1" x14ac:dyDescent="0.3">
      <c r="A462" s="825"/>
      <c r="B462" s="825"/>
      <c r="C462" s="825"/>
      <c r="D462" s="825"/>
      <c r="E462" s="825"/>
      <c r="F462" s="825"/>
      <c r="G462" s="825"/>
      <c r="H462" s="825"/>
      <c r="I462" s="825"/>
      <c r="J462" s="825"/>
      <c r="K462" s="825"/>
      <c r="L462" s="825"/>
      <c r="M462" s="825"/>
      <c r="N462" s="825"/>
      <c r="O462" s="825"/>
    </row>
    <row r="463" spans="1:15" ht="16.5" customHeight="1" x14ac:dyDescent="0.3">
      <c r="A463" s="825"/>
      <c r="B463" s="825"/>
      <c r="C463" s="825"/>
      <c r="D463" s="825"/>
      <c r="E463" s="825"/>
      <c r="F463" s="825"/>
      <c r="G463" s="825"/>
      <c r="H463" s="825"/>
      <c r="I463" s="825"/>
      <c r="J463" s="825"/>
      <c r="K463" s="825"/>
      <c r="L463" s="825"/>
      <c r="M463" s="825"/>
      <c r="N463" s="825"/>
      <c r="O463" s="825"/>
    </row>
    <row r="464" spans="1:15" ht="16.5" customHeight="1" x14ac:dyDescent="0.3">
      <c r="A464" s="825"/>
      <c r="B464" s="825"/>
      <c r="C464" s="825"/>
      <c r="D464" s="825"/>
      <c r="E464" s="825"/>
      <c r="F464" s="825"/>
      <c r="G464" s="825"/>
      <c r="H464" s="825"/>
      <c r="I464" s="825"/>
      <c r="J464" s="825"/>
      <c r="K464" s="825"/>
      <c r="L464" s="825"/>
      <c r="M464" s="825"/>
      <c r="N464" s="825"/>
      <c r="O464" s="825"/>
    </row>
    <row r="465" spans="1:15" ht="16.5" customHeight="1" x14ac:dyDescent="0.3">
      <c r="A465" s="825"/>
      <c r="B465" s="825"/>
      <c r="C465" s="825"/>
      <c r="D465" s="825"/>
      <c r="E465" s="825"/>
      <c r="F465" s="825"/>
      <c r="G465" s="825"/>
      <c r="H465" s="825"/>
      <c r="I465" s="825"/>
      <c r="J465" s="825"/>
      <c r="K465" s="825"/>
      <c r="L465" s="825"/>
      <c r="M465" s="825"/>
      <c r="N465" s="825"/>
      <c r="O465" s="825"/>
    </row>
    <row r="466" spans="1:15" ht="16.5" customHeight="1" x14ac:dyDescent="0.3">
      <c r="A466" s="825"/>
      <c r="B466" s="825"/>
      <c r="C466" s="825"/>
      <c r="D466" s="825"/>
      <c r="E466" s="825"/>
      <c r="F466" s="825"/>
      <c r="G466" s="825"/>
      <c r="H466" s="825"/>
      <c r="I466" s="825"/>
      <c r="J466" s="825"/>
      <c r="K466" s="825"/>
      <c r="L466" s="825"/>
      <c r="M466" s="825"/>
      <c r="N466" s="825"/>
      <c r="O466" s="825"/>
    </row>
    <row r="467" spans="1:15" ht="16.5" customHeight="1" x14ac:dyDescent="0.3">
      <c r="A467" s="825"/>
      <c r="B467" s="825"/>
      <c r="C467" s="825"/>
      <c r="D467" s="825"/>
      <c r="E467" s="825"/>
      <c r="F467" s="825"/>
      <c r="G467" s="825"/>
      <c r="H467" s="825"/>
      <c r="I467" s="825"/>
      <c r="J467" s="825"/>
      <c r="K467" s="825"/>
      <c r="L467" s="825"/>
      <c r="M467" s="825"/>
      <c r="N467" s="825"/>
      <c r="O467" s="825"/>
    </row>
    <row r="468" spans="1:15" ht="16.5" customHeight="1" x14ac:dyDescent="0.3">
      <c r="A468" s="825"/>
      <c r="B468" s="825"/>
      <c r="C468" s="825"/>
      <c r="D468" s="825"/>
      <c r="E468" s="825"/>
      <c r="F468" s="825"/>
      <c r="G468" s="825"/>
      <c r="H468" s="825"/>
      <c r="I468" s="825"/>
      <c r="J468" s="825"/>
      <c r="K468" s="825"/>
      <c r="L468" s="825"/>
      <c r="M468" s="825"/>
      <c r="N468" s="825"/>
      <c r="O468" s="825"/>
    </row>
    <row r="469" spans="1:15" ht="16.5" customHeight="1" x14ac:dyDescent="0.3">
      <c r="A469" s="825"/>
      <c r="B469" s="825"/>
      <c r="C469" s="825"/>
      <c r="D469" s="825"/>
      <c r="E469" s="825"/>
      <c r="F469" s="825"/>
      <c r="G469" s="825"/>
      <c r="H469" s="825"/>
      <c r="I469" s="825"/>
      <c r="J469" s="825"/>
      <c r="K469" s="825"/>
      <c r="L469" s="825"/>
      <c r="M469" s="825"/>
      <c r="N469" s="825"/>
      <c r="O469" s="825"/>
    </row>
    <row r="470" spans="1:15" ht="16.5" customHeight="1" x14ac:dyDescent="0.3">
      <c r="A470" s="825"/>
      <c r="B470" s="825"/>
      <c r="C470" s="825"/>
      <c r="D470" s="825"/>
      <c r="E470" s="825"/>
      <c r="F470" s="825"/>
      <c r="G470" s="825"/>
      <c r="H470" s="825"/>
      <c r="I470" s="825"/>
      <c r="J470" s="825"/>
      <c r="K470" s="825"/>
      <c r="L470" s="825"/>
      <c r="M470" s="825"/>
      <c r="N470" s="825"/>
      <c r="O470" s="825"/>
    </row>
    <row r="471" spans="1:15" ht="16.5" customHeight="1" x14ac:dyDescent="0.3">
      <c r="A471" s="825"/>
      <c r="B471" s="825"/>
      <c r="C471" s="825"/>
      <c r="D471" s="825"/>
      <c r="E471" s="825"/>
      <c r="F471" s="825"/>
      <c r="G471" s="825"/>
      <c r="H471" s="825"/>
      <c r="I471" s="825"/>
      <c r="J471" s="825"/>
      <c r="K471" s="825"/>
      <c r="L471" s="825"/>
      <c r="M471" s="825"/>
      <c r="N471" s="825"/>
      <c r="O471" s="825"/>
    </row>
    <row r="472" spans="1:15" ht="16.5" customHeight="1" x14ac:dyDescent="0.3">
      <c r="A472" s="825"/>
      <c r="B472" s="825"/>
      <c r="C472" s="825"/>
      <c r="D472" s="825"/>
      <c r="E472" s="825"/>
      <c r="F472" s="825"/>
      <c r="G472" s="825"/>
      <c r="H472" s="825"/>
      <c r="I472" s="825"/>
      <c r="J472" s="825"/>
      <c r="K472" s="825"/>
      <c r="L472" s="825"/>
      <c r="M472" s="825"/>
      <c r="N472" s="825"/>
      <c r="O472" s="825"/>
    </row>
    <row r="473" spans="1:15" ht="16.5" customHeight="1" x14ac:dyDescent="0.3">
      <c r="A473" s="825"/>
      <c r="B473" s="825"/>
      <c r="C473" s="825"/>
      <c r="D473" s="825"/>
      <c r="E473" s="825"/>
      <c r="F473" s="825"/>
      <c r="G473" s="825"/>
      <c r="H473" s="825"/>
      <c r="I473" s="825"/>
      <c r="J473" s="825"/>
      <c r="K473" s="825"/>
      <c r="L473" s="825"/>
      <c r="M473" s="825"/>
      <c r="N473" s="825"/>
      <c r="O473" s="825"/>
    </row>
    <row r="474" spans="1:15" ht="16.5" customHeight="1" x14ac:dyDescent="0.3">
      <c r="A474" s="825"/>
      <c r="B474" s="825"/>
      <c r="C474" s="825"/>
      <c r="D474" s="825"/>
      <c r="E474" s="825"/>
      <c r="F474" s="825"/>
      <c r="G474" s="825"/>
      <c r="H474" s="825"/>
      <c r="I474" s="825"/>
      <c r="J474" s="825"/>
      <c r="K474" s="825"/>
      <c r="L474" s="825"/>
      <c r="M474" s="825"/>
      <c r="N474" s="825"/>
      <c r="O474" s="825"/>
    </row>
    <row r="475" spans="1:15" ht="16.5" customHeight="1" x14ac:dyDescent="0.3">
      <c r="A475" s="825"/>
      <c r="B475" s="825"/>
      <c r="C475" s="825"/>
      <c r="D475" s="825"/>
      <c r="E475" s="825"/>
      <c r="F475" s="825"/>
      <c r="G475" s="825"/>
      <c r="H475" s="825"/>
      <c r="I475" s="825"/>
      <c r="J475" s="825"/>
      <c r="K475" s="825"/>
      <c r="L475" s="825"/>
      <c r="M475" s="825"/>
      <c r="N475" s="825"/>
      <c r="O475" s="825"/>
    </row>
    <row r="476" spans="1:15" ht="16.5" customHeight="1" x14ac:dyDescent="0.3">
      <c r="A476" s="825"/>
      <c r="B476" s="825"/>
      <c r="C476" s="825"/>
      <c r="D476" s="825"/>
      <c r="E476" s="825"/>
      <c r="F476" s="825"/>
      <c r="G476" s="825"/>
      <c r="H476" s="825"/>
      <c r="I476" s="825"/>
      <c r="J476" s="825"/>
      <c r="K476" s="825"/>
      <c r="L476" s="825"/>
      <c r="M476" s="825"/>
      <c r="N476" s="825"/>
      <c r="O476" s="825"/>
    </row>
    <row r="477" spans="1:15" ht="16.5" customHeight="1" x14ac:dyDescent="0.3">
      <c r="A477" s="825"/>
      <c r="B477" s="825"/>
      <c r="C477" s="825"/>
      <c r="D477" s="825"/>
      <c r="E477" s="825"/>
      <c r="F477" s="825"/>
      <c r="G477" s="825"/>
      <c r="H477" s="825"/>
      <c r="I477" s="825"/>
      <c r="J477" s="825"/>
      <c r="K477" s="825"/>
      <c r="L477" s="825"/>
      <c r="M477" s="825"/>
      <c r="N477" s="825"/>
      <c r="O477" s="825"/>
    </row>
    <row r="478" spans="1:15" ht="16.5" customHeight="1" x14ac:dyDescent="0.3">
      <c r="A478" s="825"/>
      <c r="B478" s="825"/>
      <c r="C478" s="825"/>
      <c r="D478" s="825"/>
      <c r="E478" s="825"/>
      <c r="F478" s="825"/>
      <c r="G478" s="825"/>
      <c r="H478" s="825"/>
      <c r="I478" s="825"/>
      <c r="J478" s="825"/>
      <c r="K478" s="825"/>
      <c r="L478" s="825"/>
      <c r="M478" s="825"/>
      <c r="N478" s="825"/>
      <c r="O478" s="825"/>
    </row>
    <row r="479" spans="1:15" ht="16.5" customHeight="1" x14ac:dyDescent="0.3">
      <c r="A479" s="825"/>
      <c r="B479" s="825"/>
      <c r="C479" s="825"/>
      <c r="D479" s="825"/>
      <c r="E479" s="825"/>
      <c r="F479" s="825"/>
      <c r="G479" s="825"/>
      <c r="H479" s="825"/>
      <c r="I479" s="825"/>
      <c r="J479" s="825"/>
      <c r="K479" s="825"/>
      <c r="L479" s="825"/>
      <c r="M479" s="825"/>
      <c r="N479" s="825"/>
      <c r="O479" s="825"/>
    </row>
    <row r="480" spans="1:15" ht="16.5" customHeight="1" x14ac:dyDescent="0.3">
      <c r="A480" s="825"/>
      <c r="B480" s="825"/>
      <c r="C480" s="825"/>
      <c r="D480" s="825"/>
      <c r="E480" s="825"/>
      <c r="F480" s="825"/>
      <c r="G480" s="825"/>
      <c r="H480" s="825"/>
      <c r="I480" s="825"/>
      <c r="J480" s="825"/>
      <c r="K480" s="825"/>
      <c r="L480" s="825"/>
      <c r="M480" s="825"/>
      <c r="N480" s="825"/>
      <c r="O480" s="825"/>
    </row>
    <row r="481" spans="1:15" ht="16.5" customHeight="1" x14ac:dyDescent="0.3">
      <c r="A481" s="825"/>
      <c r="B481" s="825"/>
      <c r="C481" s="825"/>
      <c r="D481" s="825"/>
      <c r="E481" s="825"/>
      <c r="F481" s="825"/>
      <c r="G481" s="825"/>
      <c r="H481" s="825"/>
      <c r="I481" s="825"/>
      <c r="J481" s="825"/>
      <c r="K481" s="825"/>
      <c r="L481" s="825"/>
      <c r="M481" s="825"/>
      <c r="N481" s="825"/>
      <c r="O481" s="825"/>
    </row>
    <row r="482" spans="1:15" ht="16.5" customHeight="1" x14ac:dyDescent="0.3">
      <c r="A482" s="825"/>
      <c r="B482" s="825"/>
      <c r="C482" s="825"/>
      <c r="D482" s="825"/>
      <c r="E482" s="825"/>
      <c r="F482" s="825"/>
      <c r="G482" s="825"/>
      <c r="H482" s="825"/>
      <c r="I482" s="825"/>
      <c r="J482" s="825"/>
      <c r="K482" s="825"/>
      <c r="L482" s="825"/>
      <c r="M482" s="825"/>
      <c r="N482" s="825"/>
      <c r="O482" s="825"/>
    </row>
    <row r="483" spans="1:15" ht="16.5" customHeight="1" x14ac:dyDescent="0.3">
      <c r="A483" s="825"/>
      <c r="B483" s="825"/>
      <c r="C483" s="825"/>
      <c r="D483" s="825"/>
      <c r="E483" s="825"/>
      <c r="F483" s="825"/>
      <c r="G483" s="825"/>
      <c r="H483" s="825"/>
      <c r="I483" s="825"/>
      <c r="J483" s="825"/>
      <c r="K483" s="825"/>
      <c r="L483" s="825"/>
      <c r="M483" s="825"/>
      <c r="N483" s="825"/>
      <c r="O483" s="825"/>
    </row>
    <row r="484" spans="1:15" ht="16.5" customHeight="1" x14ac:dyDescent="0.3">
      <c r="A484" s="825"/>
      <c r="B484" s="825"/>
      <c r="C484" s="825"/>
      <c r="D484" s="825"/>
      <c r="E484" s="825"/>
      <c r="F484" s="825"/>
      <c r="G484" s="825"/>
      <c r="H484" s="825"/>
      <c r="I484" s="825"/>
      <c r="J484" s="825"/>
      <c r="K484" s="825"/>
      <c r="L484" s="825"/>
      <c r="M484" s="825"/>
      <c r="N484" s="825"/>
      <c r="O484" s="825"/>
    </row>
    <row r="485" spans="1:15" ht="16.5" customHeight="1" x14ac:dyDescent="0.3">
      <c r="A485" s="825"/>
      <c r="B485" s="825"/>
      <c r="C485" s="825"/>
      <c r="D485" s="825"/>
      <c r="E485" s="825"/>
      <c r="F485" s="825"/>
      <c r="G485" s="825"/>
      <c r="H485" s="825"/>
      <c r="I485" s="825"/>
      <c r="J485" s="825"/>
      <c r="K485" s="825"/>
      <c r="L485" s="825"/>
      <c r="M485" s="825"/>
      <c r="N485" s="825"/>
      <c r="O485" s="825"/>
    </row>
    <row r="486" spans="1:15" ht="16.5" customHeight="1" x14ac:dyDescent="0.3">
      <c r="A486" s="825"/>
      <c r="B486" s="825"/>
      <c r="C486" s="825"/>
      <c r="D486" s="825"/>
      <c r="E486" s="825"/>
      <c r="F486" s="825"/>
      <c r="G486" s="825"/>
      <c r="H486" s="825"/>
      <c r="I486" s="825"/>
      <c r="J486" s="825"/>
      <c r="K486" s="825"/>
      <c r="L486" s="825"/>
      <c r="M486" s="825"/>
      <c r="N486" s="825"/>
      <c r="O486" s="825"/>
    </row>
    <row r="487" spans="1:15" ht="16.5" customHeight="1" x14ac:dyDescent="0.3">
      <c r="A487" s="825"/>
      <c r="B487" s="825"/>
      <c r="C487" s="825"/>
      <c r="D487" s="825"/>
      <c r="E487" s="825"/>
      <c r="F487" s="825"/>
      <c r="G487" s="825"/>
      <c r="H487" s="825"/>
      <c r="I487" s="825"/>
      <c r="J487" s="825"/>
      <c r="K487" s="825"/>
      <c r="L487" s="825"/>
      <c r="M487" s="825"/>
      <c r="N487" s="825"/>
      <c r="O487" s="825"/>
    </row>
    <row r="488" spans="1:15" ht="16.5" customHeight="1" x14ac:dyDescent="0.3">
      <c r="A488" s="825"/>
      <c r="B488" s="825"/>
      <c r="C488" s="825"/>
      <c r="D488" s="825"/>
      <c r="E488" s="825"/>
      <c r="F488" s="825"/>
      <c r="G488" s="825"/>
      <c r="H488" s="825"/>
      <c r="I488" s="825"/>
      <c r="J488" s="825"/>
      <c r="K488" s="825"/>
      <c r="L488" s="825"/>
      <c r="M488" s="825"/>
      <c r="N488" s="825"/>
      <c r="O488" s="825"/>
    </row>
    <row r="489" spans="1:15" ht="16.5" customHeight="1" x14ac:dyDescent="0.3">
      <c r="A489" s="825"/>
      <c r="B489" s="825"/>
      <c r="C489" s="825"/>
      <c r="D489" s="825"/>
      <c r="E489" s="825"/>
      <c r="F489" s="825"/>
      <c r="G489" s="825"/>
      <c r="H489" s="825"/>
      <c r="I489" s="825"/>
      <c r="J489" s="825"/>
      <c r="K489" s="825"/>
      <c r="L489" s="825"/>
      <c r="M489" s="825"/>
      <c r="N489" s="825"/>
      <c r="O489" s="825"/>
    </row>
    <row r="490" spans="1:15" ht="16.5" customHeight="1" x14ac:dyDescent="0.3">
      <c r="A490" s="825"/>
      <c r="B490" s="825"/>
      <c r="C490" s="825"/>
      <c r="D490" s="825"/>
      <c r="E490" s="825"/>
      <c r="F490" s="825"/>
      <c r="G490" s="825"/>
      <c r="H490" s="825"/>
      <c r="I490" s="825"/>
      <c r="J490" s="825"/>
      <c r="K490" s="825"/>
      <c r="L490" s="825"/>
      <c r="M490" s="825"/>
      <c r="N490" s="825"/>
      <c r="O490" s="825"/>
    </row>
    <row r="491" spans="1:15" ht="16.5" customHeight="1" x14ac:dyDescent="0.3">
      <c r="A491" s="825"/>
      <c r="B491" s="825"/>
      <c r="C491" s="825"/>
      <c r="D491" s="825"/>
      <c r="E491" s="825"/>
      <c r="F491" s="825"/>
      <c r="G491" s="825"/>
      <c r="H491" s="825"/>
      <c r="I491" s="825"/>
      <c r="J491" s="825"/>
      <c r="K491" s="825"/>
      <c r="L491" s="825"/>
      <c r="M491" s="825"/>
      <c r="N491" s="825"/>
      <c r="O491" s="825"/>
    </row>
    <row r="492" spans="1:15" ht="16.5" customHeight="1" x14ac:dyDescent="0.3">
      <c r="A492" s="825"/>
      <c r="B492" s="825"/>
      <c r="C492" s="825"/>
      <c r="D492" s="825"/>
      <c r="E492" s="825"/>
      <c r="F492" s="825"/>
      <c r="G492" s="825"/>
      <c r="H492" s="825"/>
      <c r="I492" s="825"/>
      <c r="J492" s="825"/>
      <c r="K492" s="825"/>
      <c r="L492" s="825"/>
      <c r="M492" s="825"/>
      <c r="N492" s="825"/>
      <c r="O492" s="825"/>
    </row>
    <row r="493" spans="1:15" ht="16.5" customHeight="1" x14ac:dyDescent="0.3">
      <c r="A493" s="825"/>
      <c r="B493" s="825"/>
      <c r="C493" s="825"/>
      <c r="D493" s="825"/>
      <c r="E493" s="825"/>
      <c r="F493" s="825"/>
      <c r="G493" s="825"/>
      <c r="H493" s="825"/>
      <c r="I493" s="825"/>
      <c r="J493" s="825"/>
      <c r="K493" s="825"/>
      <c r="L493" s="825"/>
      <c r="M493" s="825"/>
      <c r="N493" s="825"/>
      <c r="O493" s="825"/>
    </row>
    <row r="494" spans="1:15" ht="16.5" customHeight="1" x14ac:dyDescent="0.3">
      <c r="A494" s="825"/>
      <c r="B494" s="825"/>
      <c r="C494" s="825"/>
      <c r="D494" s="825"/>
      <c r="E494" s="825"/>
      <c r="F494" s="825"/>
      <c r="G494" s="825"/>
      <c r="H494" s="825"/>
      <c r="I494" s="825"/>
      <c r="J494" s="825"/>
      <c r="K494" s="825"/>
      <c r="L494" s="825"/>
      <c r="M494" s="825"/>
      <c r="N494" s="825"/>
      <c r="O494" s="825"/>
    </row>
    <row r="495" spans="1:15" ht="16.5" customHeight="1" x14ac:dyDescent="0.3">
      <c r="A495" s="825"/>
      <c r="B495" s="825"/>
      <c r="C495" s="825"/>
      <c r="D495" s="825"/>
      <c r="E495" s="825"/>
      <c r="F495" s="825"/>
      <c r="G495" s="825"/>
      <c r="H495" s="825"/>
      <c r="I495" s="825"/>
      <c r="J495" s="825"/>
      <c r="K495" s="825"/>
      <c r="L495" s="825"/>
      <c r="M495" s="825"/>
      <c r="N495" s="825"/>
      <c r="O495" s="825"/>
    </row>
    <row r="496" spans="1:15" ht="16.5" customHeight="1" x14ac:dyDescent="0.3">
      <c r="A496" s="825"/>
      <c r="B496" s="825"/>
      <c r="C496" s="825"/>
      <c r="D496" s="825"/>
      <c r="E496" s="825"/>
      <c r="F496" s="825"/>
      <c r="G496" s="825"/>
      <c r="H496" s="825"/>
      <c r="I496" s="825"/>
      <c r="J496" s="825"/>
      <c r="K496" s="825"/>
      <c r="L496" s="825"/>
      <c r="M496" s="825"/>
      <c r="N496" s="825"/>
      <c r="O496" s="825"/>
    </row>
    <row r="497" spans="1:15" ht="16.5" customHeight="1" x14ac:dyDescent="0.3">
      <c r="A497" s="825"/>
      <c r="B497" s="825"/>
      <c r="C497" s="825"/>
      <c r="D497" s="825"/>
      <c r="E497" s="825"/>
      <c r="F497" s="825"/>
      <c r="G497" s="825"/>
      <c r="H497" s="825"/>
      <c r="I497" s="825"/>
      <c r="J497" s="825"/>
      <c r="K497" s="825"/>
      <c r="L497" s="825"/>
      <c r="M497" s="825"/>
      <c r="N497" s="825"/>
      <c r="O497" s="825"/>
    </row>
    <row r="498" spans="1:15" ht="16.5" customHeight="1" x14ac:dyDescent="0.3">
      <c r="A498" s="825"/>
      <c r="B498" s="825"/>
      <c r="C498" s="825"/>
      <c r="D498" s="825"/>
      <c r="E498" s="825"/>
      <c r="F498" s="825"/>
      <c r="G498" s="825"/>
      <c r="H498" s="825"/>
      <c r="I498" s="825"/>
      <c r="J498" s="825"/>
      <c r="K498" s="825"/>
      <c r="L498" s="825"/>
      <c r="M498" s="825"/>
      <c r="N498" s="825"/>
      <c r="O498" s="825"/>
    </row>
    <row r="499" spans="1:15" ht="16.5" customHeight="1" x14ac:dyDescent="0.3">
      <c r="A499" s="825"/>
      <c r="B499" s="825"/>
      <c r="C499" s="825"/>
      <c r="D499" s="825"/>
      <c r="E499" s="825"/>
      <c r="F499" s="825"/>
      <c r="G499" s="825"/>
      <c r="H499" s="825"/>
      <c r="I499" s="825"/>
      <c r="J499" s="825"/>
      <c r="K499" s="825"/>
      <c r="L499" s="825"/>
      <c r="M499" s="825"/>
      <c r="N499" s="825"/>
      <c r="O499" s="825"/>
    </row>
    <row r="500" spans="1:15" ht="16.5" customHeight="1" x14ac:dyDescent="0.3">
      <c r="A500" s="825"/>
      <c r="B500" s="825"/>
      <c r="C500" s="825"/>
      <c r="D500" s="825"/>
      <c r="E500" s="825"/>
      <c r="F500" s="825"/>
      <c r="G500" s="825"/>
      <c r="H500" s="825"/>
      <c r="I500" s="825"/>
      <c r="J500" s="825"/>
      <c r="K500" s="825"/>
      <c r="L500" s="825"/>
      <c r="M500" s="825"/>
      <c r="N500" s="825"/>
      <c r="O500" s="825"/>
    </row>
    <row r="501" spans="1:15" ht="16.5" customHeight="1" x14ac:dyDescent="0.3">
      <c r="A501" s="825"/>
      <c r="B501" s="825"/>
      <c r="C501" s="825"/>
      <c r="D501" s="825"/>
      <c r="E501" s="825"/>
      <c r="F501" s="825"/>
      <c r="G501" s="825"/>
      <c r="H501" s="825"/>
      <c r="I501" s="825"/>
      <c r="J501" s="825"/>
      <c r="K501" s="825"/>
      <c r="L501" s="825"/>
      <c r="M501" s="825"/>
      <c r="N501" s="825"/>
      <c r="O501" s="825"/>
    </row>
    <row r="502" spans="1:15" ht="16.5" customHeight="1" x14ac:dyDescent="0.3">
      <c r="A502" s="825"/>
      <c r="B502" s="825"/>
      <c r="C502" s="825"/>
      <c r="D502" s="825"/>
      <c r="E502" s="825"/>
      <c r="F502" s="825"/>
      <c r="G502" s="825"/>
      <c r="H502" s="825"/>
      <c r="I502" s="825"/>
      <c r="J502" s="825"/>
      <c r="K502" s="825"/>
      <c r="L502" s="825"/>
      <c r="M502" s="825"/>
      <c r="N502" s="825"/>
      <c r="O502" s="825"/>
    </row>
    <row r="503" spans="1:15" ht="16.5" customHeight="1" x14ac:dyDescent="0.3">
      <c r="A503" s="825"/>
      <c r="B503" s="825"/>
      <c r="C503" s="825"/>
      <c r="D503" s="825"/>
      <c r="E503" s="825"/>
      <c r="F503" s="825"/>
      <c r="G503" s="825"/>
      <c r="H503" s="825"/>
      <c r="I503" s="825"/>
      <c r="J503" s="825"/>
      <c r="K503" s="825"/>
      <c r="L503" s="825"/>
      <c r="M503" s="825"/>
      <c r="N503" s="825"/>
      <c r="O503" s="825"/>
    </row>
    <row r="504" spans="1:15" ht="16.5" customHeight="1" x14ac:dyDescent="0.3">
      <c r="A504" s="825"/>
      <c r="B504" s="825"/>
      <c r="C504" s="825"/>
      <c r="D504" s="825"/>
      <c r="E504" s="825"/>
      <c r="F504" s="825"/>
      <c r="G504" s="825"/>
      <c r="H504" s="825"/>
      <c r="I504" s="825"/>
      <c r="J504" s="825"/>
      <c r="K504" s="825"/>
      <c r="L504" s="825"/>
      <c r="M504" s="825"/>
      <c r="N504" s="825"/>
      <c r="O504" s="825"/>
    </row>
    <row r="505" spans="1:15" ht="16.5" customHeight="1" x14ac:dyDescent="0.3">
      <c r="A505" s="825"/>
      <c r="B505" s="825"/>
      <c r="C505" s="825"/>
      <c r="D505" s="825"/>
      <c r="E505" s="825"/>
      <c r="F505" s="825"/>
      <c r="G505" s="825"/>
      <c r="H505" s="825"/>
      <c r="I505" s="825"/>
      <c r="J505" s="825"/>
      <c r="K505" s="825"/>
      <c r="L505" s="825"/>
      <c r="M505" s="825"/>
      <c r="N505" s="825"/>
      <c r="O505" s="825"/>
    </row>
    <row r="506" spans="1:15" ht="16.5" customHeight="1" x14ac:dyDescent="0.3">
      <c r="A506" s="825"/>
      <c r="B506" s="825"/>
      <c r="C506" s="825"/>
      <c r="D506" s="825"/>
      <c r="E506" s="825"/>
      <c r="F506" s="825"/>
      <c r="G506" s="825"/>
      <c r="H506" s="825"/>
      <c r="I506" s="825"/>
      <c r="J506" s="825"/>
      <c r="K506" s="825"/>
      <c r="L506" s="825"/>
      <c r="M506" s="825"/>
      <c r="N506" s="825"/>
      <c r="O506" s="825"/>
    </row>
    <row r="507" spans="1:15" ht="16.5" customHeight="1" x14ac:dyDescent="0.3">
      <c r="A507" s="825"/>
      <c r="B507" s="825"/>
      <c r="C507" s="825"/>
      <c r="D507" s="825"/>
      <c r="E507" s="825"/>
      <c r="F507" s="825"/>
      <c r="G507" s="825"/>
      <c r="H507" s="825"/>
      <c r="I507" s="825"/>
      <c r="J507" s="825"/>
      <c r="K507" s="825"/>
      <c r="L507" s="825"/>
      <c r="M507" s="825"/>
      <c r="N507" s="825"/>
      <c r="O507" s="825"/>
    </row>
    <row r="508" spans="1:15" ht="16.5" customHeight="1" x14ac:dyDescent="0.3">
      <c r="A508" s="825"/>
      <c r="B508" s="825"/>
      <c r="C508" s="825"/>
      <c r="D508" s="825"/>
      <c r="E508" s="825"/>
      <c r="F508" s="825"/>
      <c r="G508" s="825"/>
      <c r="H508" s="825"/>
      <c r="I508" s="825"/>
      <c r="J508" s="825"/>
      <c r="K508" s="825"/>
      <c r="L508" s="825"/>
      <c r="M508" s="825"/>
      <c r="N508" s="825"/>
      <c r="O508" s="825"/>
    </row>
    <row r="509" spans="1:15" ht="16.5" customHeight="1" x14ac:dyDescent="0.3">
      <c r="A509" s="825"/>
      <c r="B509" s="825"/>
      <c r="C509" s="825"/>
      <c r="D509" s="825"/>
      <c r="E509" s="825"/>
      <c r="F509" s="825"/>
      <c r="G509" s="825"/>
      <c r="H509" s="825"/>
      <c r="I509" s="825"/>
      <c r="J509" s="825"/>
      <c r="K509" s="825"/>
      <c r="L509" s="825"/>
      <c r="M509" s="825"/>
      <c r="N509" s="825"/>
      <c r="O509" s="825"/>
    </row>
    <row r="510" spans="1:15" ht="16.5" customHeight="1" x14ac:dyDescent="0.3">
      <c r="A510" s="825"/>
      <c r="B510" s="825"/>
      <c r="C510" s="825"/>
      <c r="D510" s="825"/>
      <c r="E510" s="825"/>
      <c r="F510" s="825"/>
      <c r="G510" s="825"/>
      <c r="H510" s="825"/>
      <c r="I510" s="825"/>
      <c r="J510" s="825"/>
      <c r="K510" s="825"/>
      <c r="L510" s="825"/>
      <c r="M510" s="825"/>
      <c r="N510" s="825"/>
      <c r="O510" s="825"/>
    </row>
    <row r="511" spans="1:15" ht="16.5" customHeight="1" x14ac:dyDescent="0.3">
      <c r="A511" s="825"/>
      <c r="B511" s="825"/>
      <c r="C511" s="825"/>
      <c r="D511" s="825"/>
      <c r="E511" s="825"/>
      <c r="F511" s="825"/>
      <c r="G511" s="825"/>
      <c r="H511" s="825"/>
      <c r="I511" s="825"/>
      <c r="J511" s="825"/>
      <c r="K511" s="825"/>
      <c r="L511" s="825"/>
      <c r="M511" s="825"/>
      <c r="N511" s="825"/>
      <c r="O511" s="825"/>
    </row>
    <row r="512" spans="1:15" ht="16.5" customHeight="1" x14ac:dyDescent="0.3">
      <c r="A512" s="825"/>
      <c r="B512" s="825"/>
      <c r="C512" s="825"/>
      <c r="D512" s="825"/>
      <c r="E512" s="825"/>
      <c r="F512" s="825"/>
      <c r="G512" s="825"/>
      <c r="H512" s="825"/>
      <c r="I512" s="825"/>
      <c r="J512" s="825"/>
      <c r="K512" s="825"/>
      <c r="L512" s="825"/>
      <c r="M512" s="825"/>
      <c r="N512" s="825"/>
      <c r="O512" s="825"/>
    </row>
    <row r="513" spans="1:15" ht="16.5" customHeight="1" x14ac:dyDescent="0.3">
      <c r="A513" s="825"/>
      <c r="B513" s="825"/>
      <c r="C513" s="825"/>
      <c r="D513" s="825"/>
      <c r="E513" s="825"/>
      <c r="F513" s="825"/>
      <c r="G513" s="825"/>
      <c r="H513" s="825"/>
      <c r="I513" s="825"/>
      <c r="J513" s="825"/>
      <c r="K513" s="825"/>
      <c r="L513" s="825"/>
      <c r="M513" s="825"/>
      <c r="N513" s="825"/>
      <c r="O513" s="825"/>
    </row>
    <row r="514" spans="1:15" ht="16.5" customHeight="1" x14ac:dyDescent="0.3">
      <c r="A514" s="825"/>
      <c r="B514" s="825"/>
      <c r="C514" s="825"/>
      <c r="D514" s="825"/>
      <c r="E514" s="825"/>
      <c r="F514" s="825"/>
      <c r="G514" s="825"/>
      <c r="H514" s="825"/>
      <c r="I514" s="825"/>
      <c r="J514" s="825"/>
      <c r="K514" s="825"/>
      <c r="L514" s="825"/>
      <c r="M514" s="825"/>
      <c r="N514" s="825"/>
      <c r="O514" s="825"/>
    </row>
    <row r="515" spans="1:15" ht="16.5" customHeight="1" x14ac:dyDescent="0.3">
      <c r="A515" s="825"/>
      <c r="B515" s="825"/>
      <c r="C515" s="825"/>
      <c r="D515" s="825"/>
      <c r="E515" s="825"/>
      <c r="F515" s="825"/>
      <c r="G515" s="825"/>
      <c r="H515" s="825"/>
      <c r="I515" s="825"/>
      <c r="J515" s="825"/>
      <c r="K515" s="825"/>
      <c r="L515" s="825"/>
      <c r="M515" s="825"/>
      <c r="N515" s="825"/>
      <c r="O515" s="825"/>
    </row>
    <row r="516" spans="1:15" ht="16.5" customHeight="1" x14ac:dyDescent="0.3">
      <c r="A516" s="825"/>
      <c r="B516" s="825"/>
      <c r="C516" s="825"/>
      <c r="D516" s="825"/>
      <c r="E516" s="825"/>
      <c r="F516" s="825"/>
      <c r="G516" s="825"/>
      <c r="H516" s="825"/>
      <c r="I516" s="825"/>
      <c r="J516" s="825"/>
      <c r="K516" s="825"/>
      <c r="L516" s="825"/>
      <c r="M516" s="825"/>
      <c r="N516" s="825"/>
      <c r="O516" s="825"/>
    </row>
    <row r="517" spans="1:15" ht="16.5" customHeight="1" x14ac:dyDescent="0.3">
      <c r="A517" s="825"/>
      <c r="B517" s="825"/>
      <c r="C517" s="825"/>
      <c r="D517" s="825"/>
      <c r="E517" s="825"/>
      <c r="F517" s="825"/>
      <c r="G517" s="825"/>
      <c r="H517" s="825"/>
      <c r="I517" s="825"/>
      <c r="J517" s="825"/>
      <c r="K517" s="825"/>
      <c r="L517" s="825"/>
      <c r="M517" s="825"/>
      <c r="N517" s="825"/>
      <c r="O517" s="825"/>
    </row>
    <row r="518" spans="1:15" ht="16.5" customHeight="1" x14ac:dyDescent="0.3">
      <c r="A518" s="825"/>
      <c r="B518" s="825"/>
      <c r="C518" s="825"/>
      <c r="D518" s="825"/>
      <c r="E518" s="825"/>
      <c r="F518" s="825"/>
      <c r="G518" s="825"/>
      <c r="H518" s="825"/>
      <c r="I518" s="825"/>
      <c r="J518" s="825"/>
      <c r="K518" s="825"/>
      <c r="L518" s="825"/>
      <c r="M518" s="825"/>
      <c r="N518" s="825"/>
      <c r="O518" s="825"/>
    </row>
    <row r="519" spans="1:15" ht="16.5" customHeight="1" x14ac:dyDescent="0.3">
      <c r="A519" s="825"/>
      <c r="B519" s="825"/>
      <c r="C519" s="825"/>
      <c r="D519" s="825"/>
      <c r="E519" s="825"/>
      <c r="F519" s="825"/>
      <c r="G519" s="825"/>
      <c r="H519" s="825"/>
      <c r="I519" s="825"/>
      <c r="J519" s="825"/>
      <c r="K519" s="825"/>
      <c r="L519" s="825"/>
      <c r="M519" s="825"/>
      <c r="N519" s="825"/>
      <c r="O519" s="825"/>
    </row>
    <row r="520" spans="1:15" ht="16.5" customHeight="1" x14ac:dyDescent="0.3">
      <c r="A520" s="825"/>
      <c r="B520" s="825"/>
      <c r="C520" s="825"/>
      <c r="D520" s="825"/>
      <c r="E520" s="825"/>
      <c r="F520" s="825"/>
      <c r="G520" s="825"/>
      <c r="H520" s="825"/>
      <c r="I520" s="825"/>
      <c r="J520" s="825"/>
      <c r="K520" s="825"/>
      <c r="L520" s="825"/>
      <c r="M520" s="825"/>
      <c r="N520" s="825"/>
      <c r="O520" s="825"/>
    </row>
    <row r="521" spans="1:15" ht="16.5" customHeight="1" x14ac:dyDescent="0.3">
      <c r="A521" s="825"/>
      <c r="B521" s="825"/>
      <c r="C521" s="825"/>
      <c r="D521" s="825"/>
      <c r="E521" s="825"/>
      <c r="F521" s="825"/>
      <c r="G521" s="825"/>
      <c r="H521" s="825"/>
      <c r="I521" s="825"/>
      <c r="J521" s="825"/>
      <c r="K521" s="825"/>
      <c r="L521" s="825"/>
      <c r="M521" s="825"/>
      <c r="N521" s="825"/>
      <c r="O521" s="825"/>
    </row>
    <row r="522" spans="1:15" ht="16.5" customHeight="1" x14ac:dyDescent="0.3">
      <c r="A522" s="825"/>
      <c r="B522" s="825"/>
      <c r="C522" s="825"/>
      <c r="D522" s="825"/>
      <c r="E522" s="825"/>
      <c r="F522" s="825"/>
      <c r="G522" s="825"/>
      <c r="H522" s="825"/>
      <c r="I522" s="825"/>
      <c r="J522" s="825"/>
      <c r="K522" s="825"/>
      <c r="L522" s="825"/>
      <c r="M522" s="825"/>
      <c r="N522" s="825"/>
      <c r="O522" s="825"/>
    </row>
    <row r="523" spans="1:15" ht="16.5" customHeight="1" x14ac:dyDescent="0.3">
      <c r="A523" s="825"/>
      <c r="B523" s="825"/>
      <c r="C523" s="825"/>
      <c r="D523" s="825"/>
      <c r="E523" s="825"/>
      <c r="F523" s="825"/>
      <c r="G523" s="825"/>
      <c r="H523" s="825"/>
      <c r="I523" s="825"/>
      <c r="J523" s="825"/>
      <c r="K523" s="825"/>
      <c r="L523" s="825"/>
      <c r="M523" s="825"/>
      <c r="N523" s="825"/>
      <c r="O523" s="825"/>
    </row>
    <row r="524" spans="1:15" ht="16.5" customHeight="1" x14ac:dyDescent="0.3">
      <c r="A524" s="825"/>
      <c r="B524" s="825"/>
      <c r="C524" s="825"/>
      <c r="D524" s="825"/>
      <c r="E524" s="825"/>
      <c r="F524" s="825"/>
      <c r="G524" s="825"/>
      <c r="H524" s="825"/>
      <c r="I524" s="825"/>
      <c r="J524" s="825"/>
      <c r="K524" s="825"/>
      <c r="L524" s="825"/>
      <c r="M524" s="825"/>
      <c r="N524" s="825"/>
      <c r="O524" s="825"/>
    </row>
    <row r="525" spans="1:15" ht="16.5" customHeight="1" x14ac:dyDescent="0.3">
      <c r="A525" s="825"/>
      <c r="B525" s="825"/>
      <c r="C525" s="825"/>
      <c r="D525" s="825"/>
      <c r="E525" s="825"/>
      <c r="F525" s="825"/>
      <c r="G525" s="825"/>
      <c r="H525" s="825"/>
      <c r="I525" s="825"/>
      <c r="J525" s="825"/>
      <c r="K525" s="825"/>
      <c r="L525" s="825"/>
      <c r="M525" s="825"/>
      <c r="N525" s="825"/>
      <c r="O525" s="825"/>
    </row>
    <row r="526" spans="1:15" ht="16.5" customHeight="1" x14ac:dyDescent="0.3">
      <c r="A526" s="825"/>
      <c r="B526" s="825"/>
      <c r="C526" s="825"/>
      <c r="D526" s="825"/>
      <c r="E526" s="825"/>
      <c r="F526" s="825"/>
      <c r="G526" s="825"/>
      <c r="H526" s="825"/>
      <c r="I526" s="825"/>
      <c r="J526" s="825"/>
      <c r="K526" s="825"/>
      <c r="L526" s="825"/>
      <c r="M526" s="825"/>
      <c r="N526" s="825"/>
      <c r="O526" s="825"/>
    </row>
    <row r="527" spans="1:15" ht="16.5" customHeight="1" x14ac:dyDescent="0.3">
      <c r="A527" s="825"/>
      <c r="B527" s="825"/>
      <c r="C527" s="825"/>
      <c r="D527" s="825"/>
      <c r="E527" s="825"/>
      <c r="F527" s="825"/>
      <c r="G527" s="825"/>
      <c r="H527" s="825"/>
      <c r="I527" s="825"/>
      <c r="J527" s="825"/>
      <c r="K527" s="825"/>
      <c r="L527" s="825"/>
      <c r="M527" s="825"/>
      <c r="N527" s="825"/>
      <c r="O527" s="825"/>
    </row>
    <row r="528" spans="1:15" ht="16.5" customHeight="1" x14ac:dyDescent="0.3">
      <c r="A528" s="825"/>
      <c r="B528" s="825"/>
      <c r="C528" s="825"/>
      <c r="D528" s="825"/>
      <c r="E528" s="825"/>
      <c r="F528" s="825"/>
      <c r="G528" s="825"/>
      <c r="H528" s="825"/>
      <c r="I528" s="825"/>
      <c r="J528" s="825"/>
      <c r="K528" s="825"/>
      <c r="L528" s="825"/>
      <c r="M528" s="825"/>
      <c r="N528" s="825"/>
      <c r="O528" s="825"/>
    </row>
    <row r="529" spans="1:15" ht="16.5" customHeight="1" x14ac:dyDescent="0.3">
      <c r="A529" s="825"/>
      <c r="B529" s="825"/>
      <c r="C529" s="825"/>
      <c r="D529" s="825"/>
      <c r="E529" s="825"/>
      <c r="F529" s="825"/>
      <c r="G529" s="825"/>
      <c r="H529" s="825"/>
      <c r="I529" s="825"/>
      <c r="J529" s="825"/>
      <c r="K529" s="825"/>
      <c r="L529" s="825"/>
      <c r="M529" s="825"/>
      <c r="N529" s="825"/>
      <c r="O529" s="825"/>
    </row>
    <row r="530" spans="1:15" ht="16.5" customHeight="1" x14ac:dyDescent="0.3">
      <c r="A530" s="825"/>
      <c r="B530" s="825"/>
      <c r="C530" s="825"/>
      <c r="D530" s="825"/>
      <c r="E530" s="825"/>
      <c r="F530" s="825"/>
      <c r="G530" s="825"/>
      <c r="H530" s="825"/>
      <c r="I530" s="825"/>
      <c r="J530" s="825"/>
      <c r="K530" s="825"/>
      <c r="L530" s="825"/>
      <c r="M530" s="825"/>
      <c r="N530" s="825"/>
      <c r="O530" s="825"/>
    </row>
    <row r="531" spans="1:15" ht="16.5" customHeight="1" x14ac:dyDescent="0.3">
      <c r="A531" s="825"/>
      <c r="B531" s="825"/>
      <c r="C531" s="825"/>
      <c r="D531" s="825"/>
      <c r="E531" s="825"/>
      <c r="F531" s="825"/>
      <c r="G531" s="825"/>
      <c r="H531" s="825"/>
      <c r="I531" s="825"/>
      <c r="J531" s="825"/>
      <c r="K531" s="825"/>
      <c r="L531" s="825"/>
      <c r="M531" s="825"/>
      <c r="N531" s="825"/>
      <c r="O531" s="825"/>
    </row>
    <row r="532" spans="1:15" ht="16.5" customHeight="1" x14ac:dyDescent="0.3">
      <c r="A532" s="825"/>
      <c r="B532" s="825"/>
      <c r="C532" s="825"/>
      <c r="D532" s="825"/>
      <c r="E532" s="825"/>
      <c r="F532" s="825"/>
      <c r="G532" s="825"/>
      <c r="H532" s="825"/>
      <c r="I532" s="825"/>
      <c r="J532" s="825"/>
      <c r="K532" s="825"/>
      <c r="L532" s="825"/>
      <c r="M532" s="825"/>
      <c r="N532" s="825"/>
      <c r="O532" s="825"/>
    </row>
    <row r="533" spans="1:15" ht="16.5" customHeight="1" x14ac:dyDescent="0.3">
      <c r="A533" s="825"/>
      <c r="B533" s="825"/>
      <c r="C533" s="825"/>
      <c r="D533" s="825"/>
      <c r="E533" s="825"/>
      <c r="F533" s="825"/>
      <c r="G533" s="825"/>
      <c r="H533" s="825"/>
      <c r="I533" s="825"/>
      <c r="J533" s="825"/>
      <c r="K533" s="825"/>
      <c r="L533" s="825"/>
      <c r="M533" s="825"/>
      <c r="N533" s="825"/>
      <c r="O533" s="825"/>
    </row>
    <row r="534" spans="1:15" ht="16.5" customHeight="1" x14ac:dyDescent="0.3">
      <c r="A534" s="825"/>
      <c r="B534" s="825"/>
      <c r="C534" s="825"/>
      <c r="D534" s="825"/>
      <c r="E534" s="825"/>
      <c r="F534" s="825"/>
      <c r="G534" s="825"/>
      <c r="H534" s="825"/>
      <c r="I534" s="825"/>
      <c r="J534" s="825"/>
      <c r="K534" s="825"/>
      <c r="L534" s="825"/>
      <c r="M534" s="825"/>
      <c r="N534" s="825"/>
      <c r="O534" s="825"/>
    </row>
    <row r="535" spans="1:15" ht="16.5" customHeight="1" x14ac:dyDescent="0.3">
      <c r="A535" s="825"/>
      <c r="B535" s="825"/>
      <c r="C535" s="825"/>
      <c r="D535" s="825"/>
      <c r="E535" s="825"/>
      <c r="F535" s="825"/>
      <c r="G535" s="825"/>
      <c r="H535" s="825"/>
      <c r="I535" s="825"/>
      <c r="J535" s="825"/>
      <c r="K535" s="825"/>
      <c r="L535" s="825"/>
      <c r="M535" s="825"/>
      <c r="N535" s="825"/>
      <c r="O535" s="825"/>
    </row>
    <row r="536" spans="1:15" ht="16.5" customHeight="1" x14ac:dyDescent="0.3">
      <c r="A536" s="825"/>
      <c r="B536" s="825"/>
      <c r="C536" s="825"/>
      <c r="D536" s="825"/>
      <c r="E536" s="825"/>
      <c r="F536" s="825"/>
      <c r="G536" s="825"/>
      <c r="H536" s="825"/>
      <c r="I536" s="825"/>
      <c r="J536" s="825"/>
      <c r="K536" s="825"/>
      <c r="L536" s="825"/>
      <c r="M536" s="825"/>
      <c r="N536" s="825"/>
      <c r="O536" s="825"/>
    </row>
    <row r="537" spans="1:15" ht="16.5" customHeight="1" x14ac:dyDescent="0.3">
      <c r="A537" s="825"/>
      <c r="B537" s="825"/>
      <c r="C537" s="825"/>
      <c r="D537" s="825"/>
      <c r="E537" s="825"/>
      <c r="F537" s="825"/>
      <c r="G537" s="825"/>
      <c r="H537" s="825"/>
      <c r="I537" s="825"/>
      <c r="J537" s="825"/>
      <c r="K537" s="825"/>
      <c r="L537" s="825"/>
      <c r="M537" s="825"/>
      <c r="N537" s="825"/>
      <c r="O537" s="825"/>
    </row>
    <row r="538" spans="1:15" ht="16.5" customHeight="1" x14ac:dyDescent="0.3">
      <c r="A538" s="825"/>
      <c r="B538" s="825"/>
      <c r="C538" s="825"/>
      <c r="D538" s="825"/>
      <c r="E538" s="825"/>
      <c r="F538" s="825"/>
      <c r="G538" s="825"/>
      <c r="H538" s="825"/>
      <c r="I538" s="825"/>
      <c r="J538" s="825"/>
      <c r="K538" s="825"/>
      <c r="L538" s="825"/>
      <c r="M538" s="825"/>
      <c r="N538" s="825"/>
      <c r="O538" s="825"/>
    </row>
    <row r="539" spans="1:15" ht="16.5" customHeight="1" x14ac:dyDescent="0.3">
      <c r="A539" s="825"/>
      <c r="B539" s="825"/>
      <c r="C539" s="825"/>
      <c r="D539" s="825"/>
      <c r="E539" s="825"/>
      <c r="F539" s="825"/>
      <c r="G539" s="825"/>
      <c r="H539" s="825"/>
      <c r="I539" s="825"/>
      <c r="J539" s="825"/>
      <c r="K539" s="825"/>
      <c r="L539" s="825"/>
      <c r="M539" s="825"/>
      <c r="N539" s="825"/>
      <c r="O539" s="825"/>
    </row>
    <row r="540" spans="1:15" ht="16.5" customHeight="1" x14ac:dyDescent="0.3">
      <c r="A540" s="825"/>
      <c r="B540" s="825"/>
      <c r="C540" s="825"/>
      <c r="D540" s="825"/>
      <c r="E540" s="825"/>
      <c r="F540" s="825"/>
      <c r="G540" s="825"/>
      <c r="H540" s="825"/>
      <c r="I540" s="825"/>
      <c r="J540" s="825"/>
      <c r="K540" s="825"/>
      <c r="L540" s="825"/>
      <c r="M540" s="825"/>
      <c r="N540" s="825"/>
      <c r="O540" s="825"/>
    </row>
    <row r="541" spans="1:15" ht="16.5" customHeight="1" x14ac:dyDescent="0.3">
      <c r="A541" s="825"/>
      <c r="B541" s="825"/>
      <c r="C541" s="825"/>
      <c r="D541" s="825"/>
      <c r="E541" s="825"/>
      <c r="F541" s="825"/>
      <c r="G541" s="825"/>
      <c r="H541" s="825"/>
      <c r="I541" s="825"/>
      <c r="J541" s="825"/>
      <c r="K541" s="825"/>
      <c r="L541" s="825"/>
      <c r="M541" s="825"/>
      <c r="N541" s="825"/>
      <c r="O541" s="825"/>
    </row>
    <row r="542" spans="1:15" ht="16.5" customHeight="1" x14ac:dyDescent="0.3">
      <c r="A542" s="825"/>
      <c r="B542" s="825"/>
      <c r="C542" s="825"/>
      <c r="D542" s="825"/>
      <c r="E542" s="825"/>
      <c r="F542" s="825"/>
      <c r="G542" s="825"/>
      <c r="H542" s="825"/>
      <c r="I542" s="825"/>
      <c r="J542" s="825"/>
      <c r="K542" s="825"/>
      <c r="L542" s="825"/>
      <c r="M542" s="825"/>
      <c r="N542" s="825"/>
      <c r="O542" s="825"/>
    </row>
    <row r="543" spans="1:15" ht="16.5" customHeight="1" x14ac:dyDescent="0.3">
      <c r="A543" s="825"/>
      <c r="B543" s="825"/>
      <c r="C543" s="825"/>
      <c r="D543" s="825"/>
      <c r="E543" s="825"/>
      <c r="F543" s="825"/>
      <c r="G543" s="825"/>
      <c r="H543" s="825"/>
      <c r="I543" s="825"/>
      <c r="J543" s="825"/>
      <c r="K543" s="825"/>
      <c r="L543" s="825"/>
      <c r="M543" s="825"/>
      <c r="N543" s="825"/>
      <c r="O543" s="825"/>
    </row>
    <row r="544" spans="1:15" ht="16.5" customHeight="1" x14ac:dyDescent="0.3">
      <c r="A544" s="825"/>
      <c r="B544" s="825"/>
      <c r="C544" s="825"/>
      <c r="D544" s="825"/>
      <c r="E544" s="825"/>
      <c r="F544" s="825"/>
      <c r="G544" s="825"/>
      <c r="H544" s="825"/>
      <c r="I544" s="825"/>
      <c r="J544" s="825"/>
      <c r="K544" s="825"/>
      <c r="L544" s="825"/>
      <c r="M544" s="825"/>
      <c r="N544" s="825"/>
      <c r="O544" s="825"/>
    </row>
    <row r="545" spans="1:15" ht="16.5" customHeight="1" x14ac:dyDescent="0.3">
      <c r="A545" s="825"/>
      <c r="B545" s="825"/>
      <c r="C545" s="825"/>
      <c r="D545" s="825"/>
      <c r="E545" s="825"/>
      <c r="F545" s="825"/>
      <c r="G545" s="825"/>
      <c r="H545" s="825"/>
      <c r="I545" s="825"/>
      <c r="J545" s="825"/>
      <c r="K545" s="825"/>
      <c r="L545" s="825"/>
      <c r="M545" s="825"/>
      <c r="N545" s="825"/>
      <c r="O545" s="825"/>
    </row>
    <row r="546" spans="1:15" ht="16.5" customHeight="1" x14ac:dyDescent="0.3">
      <c r="A546" s="825"/>
      <c r="B546" s="825"/>
      <c r="C546" s="825"/>
      <c r="D546" s="825"/>
      <c r="E546" s="825"/>
      <c r="F546" s="825"/>
      <c r="G546" s="825"/>
      <c r="H546" s="825"/>
      <c r="I546" s="825"/>
      <c r="J546" s="825"/>
      <c r="K546" s="825"/>
      <c r="L546" s="825"/>
      <c r="M546" s="825"/>
      <c r="N546" s="825"/>
      <c r="O546" s="825"/>
    </row>
    <row r="547" spans="1:15" ht="16.5" customHeight="1" x14ac:dyDescent="0.3">
      <c r="A547" s="825"/>
      <c r="B547" s="825"/>
      <c r="C547" s="825"/>
      <c r="D547" s="825"/>
      <c r="E547" s="825"/>
      <c r="F547" s="825"/>
      <c r="G547" s="825"/>
      <c r="H547" s="825"/>
      <c r="I547" s="825"/>
      <c r="J547" s="825"/>
      <c r="K547" s="825"/>
      <c r="L547" s="825"/>
      <c r="M547" s="825"/>
      <c r="N547" s="825"/>
      <c r="O547" s="825"/>
    </row>
    <row r="548" spans="1:15" ht="16.5" customHeight="1" x14ac:dyDescent="0.3">
      <c r="A548" s="825"/>
      <c r="B548" s="825"/>
      <c r="C548" s="825"/>
      <c r="D548" s="825"/>
      <c r="E548" s="825"/>
      <c r="F548" s="825"/>
      <c r="G548" s="825"/>
      <c r="H548" s="825"/>
      <c r="I548" s="825"/>
      <c r="J548" s="825"/>
      <c r="K548" s="825"/>
      <c r="L548" s="825"/>
      <c r="M548" s="825"/>
      <c r="N548" s="825"/>
      <c r="O548" s="825"/>
    </row>
    <row r="549" spans="1:15" ht="16.5" customHeight="1" x14ac:dyDescent="0.3">
      <c r="A549" s="825"/>
      <c r="B549" s="825"/>
      <c r="C549" s="825"/>
      <c r="D549" s="825"/>
      <c r="E549" s="825"/>
      <c r="F549" s="825"/>
      <c r="G549" s="825"/>
      <c r="H549" s="825"/>
      <c r="I549" s="825"/>
      <c r="J549" s="825"/>
      <c r="K549" s="825"/>
      <c r="L549" s="825"/>
      <c r="M549" s="825"/>
      <c r="N549" s="825"/>
      <c r="O549" s="825"/>
    </row>
    <row r="550" spans="1:15" ht="16.5" customHeight="1" x14ac:dyDescent="0.3">
      <c r="A550" s="825"/>
      <c r="B550" s="825"/>
      <c r="C550" s="825"/>
      <c r="D550" s="825"/>
      <c r="E550" s="825"/>
      <c r="F550" s="825"/>
      <c r="G550" s="825"/>
      <c r="H550" s="825"/>
      <c r="I550" s="825"/>
      <c r="J550" s="825"/>
      <c r="K550" s="825"/>
      <c r="L550" s="825"/>
      <c r="M550" s="825"/>
      <c r="N550" s="825"/>
      <c r="O550" s="825"/>
    </row>
    <row r="551" spans="1:15" ht="16.5" customHeight="1" x14ac:dyDescent="0.3">
      <c r="A551" s="825"/>
      <c r="B551" s="825"/>
      <c r="C551" s="825"/>
      <c r="D551" s="825"/>
      <c r="E551" s="825"/>
      <c r="F551" s="825"/>
      <c r="G551" s="825"/>
      <c r="H551" s="825"/>
      <c r="I551" s="825"/>
      <c r="J551" s="825"/>
      <c r="K551" s="825"/>
      <c r="L551" s="825"/>
      <c r="M551" s="825"/>
      <c r="N551" s="825"/>
      <c r="O551" s="825"/>
    </row>
    <row r="552" spans="1:15" ht="16.5" customHeight="1" x14ac:dyDescent="0.3">
      <c r="A552" s="825"/>
      <c r="B552" s="825"/>
      <c r="C552" s="825"/>
      <c r="D552" s="825"/>
      <c r="E552" s="825"/>
      <c r="F552" s="825"/>
      <c r="G552" s="825"/>
      <c r="H552" s="825"/>
      <c r="I552" s="825"/>
      <c r="J552" s="825"/>
      <c r="K552" s="825"/>
      <c r="L552" s="825"/>
      <c r="M552" s="825"/>
      <c r="N552" s="825"/>
      <c r="O552" s="825"/>
    </row>
    <row r="553" spans="1:15" ht="16.5" customHeight="1" x14ac:dyDescent="0.3">
      <c r="A553" s="825"/>
      <c r="B553" s="825"/>
      <c r="C553" s="825"/>
      <c r="D553" s="825"/>
      <c r="E553" s="825"/>
      <c r="F553" s="825"/>
      <c r="G553" s="825"/>
      <c r="H553" s="825"/>
      <c r="I553" s="825"/>
      <c r="J553" s="825"/>
      <c r="K553" s="825"/>
      <c r="L553" s="825"/>
      <c r="M553" s="825"/>
      <c r="N553" s="825"/>
      <c r="O553" s="825"/>
    </row>
    <row r="554" spans="1:15" ht="16.5" customHeight="1" x14ac:dyDescent="0.3">
      <c r="A554" s="825"/>
      <c r="B554" s="825"/>
      <c r="C554" s="825"/>
      <c r="D554" s="825"/>
      <c r="E554" s="825"/>
      <c r="F554" s="825"/>
      <c r="G554" s="825"/>
      <c r="H554" s="825"/>
      <c r="I554" s="825"/>
      <c r="J554" s="825"/>
      <c r="K554" s="825"/>
      <c r="L554" s="825"/>
      <c r="M554" s="825"/>
      <c r="N554" s="825"/>
      <c r="O554" s="825"/>
    </row>
    <row r="555" spans="1:15" ht="16.5" customHeight="1" x14ac:dyDescent="0.3">
      <c r="A555" s="825"/>
      <c r="B555" s="825"/>
      <c r="C555" s="825"/>
      <c r="D555" s="825"/>
      <c r="E555" s="825"/>
      <c r="F555" s="825"/>
      <c r="G555" s="825"/>
      <c r="H555" s="825"/>
      <c r="I555" s="825"/>
      <c r="J555" s="825"/>
      <c r="K555" s="825"/>
      <c r="L555" s="825"/>
      <c r="M555" s="825"/>
      <c r="N555" s="825"/>
      <c r="O555" s="825"/>
    </row>
    <row r="556" spans="1:15" ht="16.5" customHeight="1" x14ac:dyDescent="0.3">
      <c r="A556" s="825"/>
      <c r="B556" s="825"/>
      <c r="C556" s="825"/>
      <c r="D556" s="825"/>
      <c r="E556" s="825"/>
      <c r="F556" s="825"/>
      <c r="G556" s="825"/>
      <c r="H556" s="825"/>
      <c r="I556" s="825"/>
      <c r="J556" s="825"/>
      <c r="K556" s="825"/>
      <c r="L556" s="825"/>
      <c r="M556" s="825"/>
      <c r="N556" s="825"/>
      <c r="O556" s="825"/>
    </row>
    <row r="557" spans="1:15" ht="16.5" customHeight="1" x14ac:dyDescent="0.3">
      <c r="A557" s="825"/>
      <c r="B557" s="825"/>
      <c r="C557" s="825"/>
      <c r="D557" s="825"/>
      <c r="E557" s="825"/>
      <c r="F557" s="825"/>
      <c r="G557" s="825"/>
      <c r="H557" s="825"/>
      <c r="I557" s="825"/>
      <c r="J557" s="825"/>
      <c r="K557" s="825"/>
      <c r="L557" s="825"/>
      <c r="M557" s="825"/>
      <c r="N557" s="825"/>
      <c r="O557" s="825"/>
    </row>
    <row r="558" spans="1:15" ht="16.5" customHeight="1" x14ac:dyDescent="0.3">
      <c r="A558" s="825"/>
      <c r="B558" s="825"/>
      <c r="C558" s="825"/>
      <c r="D558" s="825"/>
      <c r="E558" s="825"/>
      <c r="F558" s="825"/>
      <c r="G558" s="825"/>
      <c r="H558" s="825"/>
      <c r="I558" s="825"/>
      <c r="J558" s="825"/>
      <c r="K558" s="825"/>
      <c r="L558" s="825"/>
      <c r="M558" s="825"/>
      <c r="N558" s="825"/>
      <c r="O558" s="825"/>
    </row>
    <row r="559" spans="1:15" ht="16.5" customHeight="1" x14ac:dyDescent="0.3">
      <c r="A559" s="825"/>
      <c r="B559" s="825"/>
      <c r="C559" s="825"/>
      <c r="D559" s="825"/>
      <c r="E559" s="825"/>
      <c r="F559" s="825"/>
      <c r="G559" s="825"/>
      <c r="H559" s="825"/>
      <c r="I559" s="825"/>
      <c r="J559" s="825"/>
      <c r="K559" s="825"/>
      <c r="L559" s="825"/>
      <c r="M559" s="825"/>
      <c r="N559" s="825"/>
      <c r="O559" s="825"/>
    </row>
    <row r="560" spans="1:15" ht="16.5" customHeight="1" x14ac:dyDescent="0.3">
      <c r="A560" s="825"/>
      <c r="B560" s="825"/>
      <c r="C560" s="825"/>
      <c r="D560" s="825"/>
      <c r="E560" s="825"/>
      <c r="F560" s="825"/>
      <c r="G560" s="825"/>
      <c r="H560" s="825"/>
      <c r="I560" s="825"/>
      <c r="J560" s="825"/>
      <c r="K560" s="825"/>
      <c r="L560" s="825"/>
      <c r="M560" s="825"/>
      <c r="N560" s="825"/>
      <c r="O560" s="825"/>
    </row>
    <row r="561" spans="1:15" ht="16.5" customHeight="1" x14ac:dyDescent="0.3">
      <c r="A561" s="825"/>
      <c r="B561" s="825"/>
      <c r="C561" s="825"/>
      <c r="D561" s="825"/>
      <c r="E561" s="825"/>
      <c r="F561" s="825"/>
      <c r="G561" s="825"/>
      <c r="H561" s="825"/>
      <c r="I561" s="825"/>
      <c r="J561" s="825"/>
      <c r="K561" s="825"/>
      <c r="L561" s="825"/>
      <c r="M561" s="825"/>
      <c r="N561" s="825"/>
      <c r="O561" s="825"/>
    </row>
    <row r="562" spans="1:15" ht="16.5" customHeight="1" x14ac:dyDescent="0.3">
      <c r="A562" s="825"/>
      <c r="B562" s="825"/>
      <c r="C562" s="825"/>
      <c r="D562" s="825"/>
      <c r="E562" s="825"/>
      <c r="F562" s="825"/>
      <c r="G562" s="825"/>
      <c r="H562" s="825"/>
      <c r="I562" s="825"/>
      <c r="J562" s="825"/>
      <c r="K562" s="825"/>
      <c r="L562" s="825"/>
      <c r="M562" s="825"/>
      <c r="N562" s="825"/>
      <c r="O562" s="825"/>
    </row>
    <row r="563" spans="1:15" ht="16.5" customHeight="1" x14ac:dyDescent="0.3">
      <c r="A563" s="825"/>
      <c r="B563" s="825"/>
      <c r="C563" s="825"/>
      <c r="D563" s="825"/>
      <c r="E563" s="825"/>
      <c r="F563" s="825"/>
      <c r="G563" s="825"/>
      <c r="H563" s="825"/>
      <c r="I563" s="825"/>
      <c r="J563" s="825"/>
      <c r="K563" s="825"/>
      <c r="L563" s="825"/>
      <c r="M563" s="825"/>
      <c r="N563" s="825"/>
      <c r="O563" s="825"/>
    </row>
    <row r="564" spans="1:15" ht="16.5" customHeight="1" x14ac:dyDescent="0.3">
      <c r="A564" s="825"/>
      <c r="B564" s="825"/>
      <c r="C564" s="825"/>
      <c r="D564" s="825"/>
      <c r="E564" s="825"/>
      <c r="F564" s="825"/>
      <c r="G564" s="825"/>
      <c r="H564" s="825"/>
      <c r="I564" s="825"/>
      <c r="J564" s="825"/>
      <c r="K564" s="825"/>
      <c r="L564" s="825"/>
      <c r="M564" s="825"/>
      <c r="N564" s="825"/>
      <c r="O564" s="825"/>
    </row>
    <row r="565" spans="1:15" ht="16.5" customHeight="1" x14ac:dyDescent="0.3">
      <c r="A565" s="825"/>
      <c r="B565" s="825"/>
      <c r="C565" s="825"/>
      <c r="D565" s="825"/>
      <c r="E565" s="825"/>
      <c r="F565" s="825"/>
      <c r="G565" s="825"/>
      <c r="H565" s="825"/>
      <c r="I565" s="825"/>
      <c r="J565" s="825"/>
      <c r="K565" s="825"/>
      <c r="L565" s="825"/>
      <c r="M565" s="825"/>
      <c r="N565" s="825"/>
      <c r="O565" s="825"/>
    </row>
    <row r="566" spans="1:15" ht="16.5" customHeight="1" x14ac:dyDescent="0.3">
      <c r="A566" s="825"/>
      <c r="B566" s="825"/>
      <c r="C566" s="825"/>
      <c r="D566" s="825"/>
      <c r="E566" s="825"/>
      <c r="F566" s="825"/>
      <c r="G566" s="825"/>
      <c r="H566" s="825"/>
      <c r="I566" s="825"/>
      <c r="J566" s="825"/>
      <c r="K566" s="825"/>
      <c r="L566" s="825"/>
      <c r="M566" s="825"/>
      <c r="N566" s="825"/>
      <c r="O566" s="825"/>
    </row>
    <row r="567" spans="1:15" ht="16.5" customHeight="1" x14ac:dyDescent="0.3">
      <c r="A567" s="825"/>
      <c r="B567" s="825"/>
      <c r="C567" s="825"/>
      <c r="D567" s="825"/>
      <c r="E567" s="825"/>
      <c r="F567" s="825"/>
      <c r="G567" s="825"/>
      <c r="H567" s="825"/>
      <c r="I567" s="825"/>
      <c r="J567" s="825"/>
      <c r="K567" s="825"/>
      <c r="L567" s="825"/>
      <c r="M567" s="825"/>
      <c r="N567" s="825"/>
      <c r="O567" s="825"/>
    </row>
    <row r="568" spans="1:15" ht="16.5" customHeight="1" x14ac:dyDescent="0.3">
      <c r="A568" s="825"/>
      <c r="B568" s="825"/>
      <c r="C568" s="825"/>
      <c r="D568" s="825"/>
      <c r="E568" s="825"/>
      <c r="F568" s="825"/>
      <c r="G568" s="825"/>
      <c r="H568" s="825"/>
      <c r="I568" s="825"/>
      <c r="J568" s="825"/>
      <c r="K568" s="825"/>
      <c r="L568" s="825"/>
      <c r="M568" s="825"/>
      <c r="N568" s="825"/>
      <c r="O568" s="825"/>
    </row>
    <row r="569" spans="1:15" ht="16.5" customHeight="1" x14ac:dyDescent="0.3">
      <c r="A569" s="825"/>
      <c r="B569" s="825"/>
      <c r="C569" s="825"/>
      <c r="D569" s="825"/>
      <c r="E569" s="825"/>
      <c r="F569" s="825"/>
      <c r="G569" s="825"/>
      <c r="H569" s="825"/>
      <c r="I569" s="825"/>
      <c r="J569" s="825"/>
      <c r="K569" s="825"/>
      <c r="L569" s="825"/>
      <c r="M569" s="825"/>
      <c r="N569" s="825"/>
      <c r="O569" s="825"/>
    </row>
    <row r="570" spans="1:15" ht="16.5" customHeight="1" x14ac:dyDescent="0.3">
      <c r="A570" s="825"/>
      <c r="B570" s="825"/>
      <c r="C570" s="825"/>
      <c r="D570" s="825"/>
      <c r="E570" s="825"/>
      <c r="F570" s="825"/>
      <c r="G570" s="825"/>
      <c r="H570" s="825"/>
      <c r="I570" s="825"/>
      <c r="J570" s="825"/>
      <c r="K570" s="825"/>
      <c r="L570" s="825"/>
      <c r="M570" s="825"/>
      <c r="N570" s="825"/>
      <c r="O570" s="825"/>
    </row>
    <row r="571" spans="1:15" ht="16.5" customHeight="1" x14ac:dyDescent="0.3">
      <c r="A571" s="825"/>
      <c r="B571" s="825"/>
      <c r="C571" s="825"/>
      <c r="D571" s="825"/>
      <c r="E571" s="825"/>
      <c r="F571" s="825"/>
      <c r="G571" s="825"/>
      <c r="H571" s="825"/>
      <c r="I571" s="825"/>
      <c r="J571" s="825"/>
      <c r="K571" s="825"/>
      <c r="L571" s="825"/>
      <c r="M571" s="825"/>
      <c r="N571" s="825"/>
      <c r="O571" s="825"/>
    </row>
    <row r="572" spans="1:15" ht="16.5" customHeight="1" x14ac:dyDescent="0.3">
      <c r="A572" s="825"/>
      <c r="B572" s="825"/>
      <c r="C572" s="825"/>
      <c r="D572" s="825"/>
      <c r="E572" s="825"/>
      <c r="F572" s="825"/>
      <c r="G572" s="825"/>
      <c r="H572" s="825"/>
      <c r="I572" s="825"/>
      <c r="J572" s="825"/>
      <c r="K572" s="825"/>
      <c r="L572" s="825"/>
      <c r="M572" s="825"/>
      <c r="N572" s="825"/>
      <c r="O572" s="825"/>
    </row>
    <row r="573" spans="1:15" ht="16.5" customHeight="1" x14ac:dyDescent="0.3">
      <c r="A573" s="825"/>
      <c r="B573" s="825"/>
      <c r="C573" s="825"/>
      <c r="D573" s="825"/>
      <c r="E573" s="825"/>
      <c r="F573" s="825"/>
      <c r="G573" s="825"/>
      <c r="H573" s="825"/>
      <c r="I573" s="825"/>
      <c r="J573" s="825"/>
      <c r="K573" s="825"/>
      <c r="L573" s="825"/>
      <c r="M573" s="825"/>
      <c r="N573" s="825"/>
      <c r="O573" s="825"/>
    </row>
    <row r="574" spans="1:15" ht="16.5" customHeight="1" x14ac:dyDescent="0.3">
      <c r="A574" s="825"/>
      <c r="B574" s="825"/>
      <c r="C574" s="825"/>
      <c r="D574" s="825"/>
      <c r="E574" s="825"/>
      <c r="F574" s="825"/>
      <c r="G574" s="825"/>
      <c r="H574" s="825"/>
      <c r="I574" s="825"/>
      <c r="J574" s="825"/>
      <c r="K574" s="825"/>
      <c r="L574" s="825"/>
      <c r="M574" s="825"/>
      <c r="N574" s="825"/>
      <c r="O574" s="825"/>
    </row>
    <row r="575" spans="1:15" ht="16.5" customHeight="1" x14ac:dyDescent="0.3">
      <c r="A575" s="825"/>
      <c r="B575" s="825"/>
      <c r="C575" s="825"/>
      <c r="D575" s="825"/>
      <c r="E575" s="825"/>
      <c r="F575" s="825"/>
      <c r="G575" s="825"/>
      <c r="H575" s="825"/>
      <c r="I575" s="825"/>
      <c r="J575" s="825"/>
      <c r="K575" s="825"/>
      <c r="L575" s="825"/>
      <c r="M575" s="825"/>
      <c r="N575" s="825"/>
      <c r="O575" s="825"/>
    </row>
    <row r="576" spans="1:15" ht="16.5" customHeight="1" x14ac:dyDescent="0.3">
      <c r="A576" s="825"/>
      <c r="B576" s="825"/>
      <c r="C576" s="825"/>
      <c r="D576" s="825"/>
      <c r="E576" s="825"/>
      <c r="F576" s="825"/>
      <c r="G576" s="825"/>
      <c r="H576" s="825"/>
      <c r="I576" s="825"/>
      <c r="J576" s="825"/>
      <c r="K576" s="825"/>
      <c r="L576" s="825"/>
      <c r="M576" s="825"/>
      <c r="N576" s="825"/>
      <c r="O576" s="825"/>
    </row>
    <row r="577" spans="1:15" ht="16.5" customHeight="1" x14ac:dyDescent="0.3">
      <c r="A577" s="825"/>
      <c r="B577" s="825"/>
      <c r="C577" s="825"/>
      <c r="D577" s="825"/>
      <c r="E577" s="825"/>
      <c r="F577" s="825"/>
      <c r="G577" s="825"/>
      <c r="H577" s="825"/>
      <c r="I577" s="825"/>
      <c r="J577" s="825"/>
      <c r="K577" s="825"/>
      <c r="L577" s="825"/>
      <c r="M577" s="825"/>
      <c r="N577" s="825"/>
      <c r="O577" s="825"/>
    </row>
    <row r="578" spans="1:15" ht="16.5" customHeight="1" x14ac:dyDescent="0.3">
      <c r="A578" s="825"/>
      <c r="B578" s="825"/>
      <c r="C578" s="825"/>
      <c r="D578" s="825"/>
      <c r="E578" s="825"/>
      <c r="F578" s="825"/>
      <c r="G578" s="825"/>
      <c r="H578" s="825"/>
      <c r="I578" s="825"/>
      <c r="J578" s="825"/>
      <c r="K578" s="825"/>
      <c r="L578" s="825"/>
      <c r="M578" s="825"/>
      <c r="N578" s="825"/>
      <c r="O578" s="825"/>
    </row>
    <row r="579" spans="1:15" ht="16.5" customHeight="1" x14ac:dyDescent="0.3">
      <c r="A579" s="825"/>
      <c r="B579" s="825"/>
      <c r="C579" s="825"/>
      <c r="D579" s="825"/>
      <c r="E579" s="825"/>
      <c r="F579" s="825"/>
      <c r="G579" s="825"/>
      <c r="H579" s="825"/>
      <c r="I579" s="825"/>
      <c r="J579" s="825"/>
      <c r="K579" s="825"/>
      <c r="L579" s="825"/>
      <c r="M579" s="825"/>
      <c r="N579" s="825"/>
      <c r="O579" s="825"/>
    </row>
    <row r="580" spans="1:15" ht="16.5" customHeight="1" x14ac:dyDescent="0.3">
      <c r="A580" s="825"/>
      <c r="B580" s="825"/>
      <c r="C580" s="825"/>
      <c r="D580" s="825"/>
      <c r="E580" s="825"/>
      <c r="F580" s="825"/>
      <c r="G580" s="825"/>
      <c r="H580" s="825"/>
      <c r="I580" s="825"/>
      <c r="J580" s="825"/>
      <c r="K580" s="825"/>
      <c r="L580" s="825"/>
      <c r="M580" s="825"/>
      <c r="N580" s="825"/>
      <c r="O580" s="825"/>
    </row>
    <row r="581" spans="1:15" ht="16.5" customHeight="1" x14ac:dyDescent="0.3">
      <c r="A581" s="825"/>
      <c r="B581" s="825"/>
      <c r="C581" s="825"/>
      <c r="D581" s="825"/>
      <c r="E581" s="825"/>
      <c r="F581" s="825"/>
      <c r="G581" s="825"/>
      <c r="H581" s="825"/>
      <c r="I581" s="825"/>
      <c r="J581" s="825"/>
      <c r="K581" s="825"/>
      <c r="L581" s="825"/>
      <c r="M581" s="825"/>
      <c r="N581" s="825"/>
      <c r="O581" s="825"/>
    </row>
    <row r="582" spans="1:15" ht="16.5" customHeight="1" x14ac:dyDescent="0.3">
      <c r="A582" s="825"/>
      <c r="B582" s="825"/>
      <c r="C582" s="825"/>
      <c r="D582" s="825"/>
      <c r="E582" s="825"/>
      <c r="F582" s="825"/>
      <c r="G582" s="825"/>
      <c r="H582" s="825"/>
      <c r="I582" s="825"/>
      <c r="J582" s="825"/>
      <c r="K582" s="825"/>
      <c r="L582" s="825"/>
      <c r="M582" s="825"/>
      <c r="N582" s="825"/>
      <c r="O582" s="825"/>
    </row>
    <row r="583" spans="1:15" ht="16.5" customHeight="1" x14ac:dyDescent="0.3">
      <c r="A583" s="825"/>
      <c r="B583" s="825"/>
      <c r="C583" s="825"/>
      <c r="D583" s="825"/>
      <c r="E583" s="825"/>
      <c r="F583" s="825"/>
      <c r="G583" s="825"/>
      <c r="H583" s="825"/>
      <c r="I583" s="825"/>
      <c r="J583" s="825"/>
      <c r="K583" s="825"/>
      <c r="L583" s="825"/>
      <c r="M583" s="825"/>
      <c r="N583" s="825"/>
      <c r="O583" s="825"/>
    </row>
    <row r="584" spans="1:15" ht="16.5" customHeight="1" x14ac:dyDescent="0.3">
      <c r="A584" s="825"/>
      <c r="B584" s="825"/>
      <c r="C584" s="825"/>
      <c r="D584" s="825"/>
      <c r="E584" s="825"/>
      <c r="F584" s="825"/>
      <c r="G584" s="825"/>
      <c r="H584" s="825"/>
      <c r="I584" s="825"/>
      <c r="J584" s="825"/>
      <c r="K584" s="825"/>
      <c r="L584" s="825"/>
      <c r="M584" s="825"/>
      <c r="N584" s="825"/>
      <c r="O584" s="825"/>
    </row>
    <row r="585" spans="1:15" ht="16.5" customHeight="1" x14ac:dyDescent="0.3">
      <c r="A585" s="825"/>
      <c r="B585" s="825"/>
      <c r="C585" s="825"/>
      <c r="D585" s="825"/>
      <c r="E585" s="825"/>
      <c r="F585" s="825"/>
      <c r="G585" s="825"/>
      <c r="H585" s="825"/>
      <c r="I585" s="825"/>
      <c r="J585" s="825"/>
      <c r="K585" s="825"/>
      <c r="L585" s="825"/>
      <c r="M585" s="825"/>
      <c r="N585" s="825"/>
      <c r="O585" s="825"/>
    </row>
    <row r="586" spans="1:15" ht="16.5" customHeight="1" x14ac:dyDescent="0.3">
      <c r="A586" s="825"/>
      <c r="B586" s="825"/>
      <c r="C586" s="825"/>
      <c r="D586" s="825"/>
      <c r="E586" s="825"/>
      <c r="F586" s="825"/>
      <c r="G586" s="825"/>
      <c r="H586" s="825"/>
      <c r="I586" s="825"/>
      <c r="J586" s="825"/>
      <c r="K586" s="825"/>
      <c r="L586" s="825"/>
      <c r="M586" s="825"/>
      <c r="N586" s="825"/>
      <c r="O586" s="825"/>
    </row>
    <row r="587" spans="1:15" ht="16.5" customHeight="1" x14ac:dyDescent="0.3">
      <c r="A587" s="825"/>
      <c r="B587" s="825"/>
      <c r="C587" s="825"/>
      <c r="D587" s="825"/>
      <c r="E587" s="825"/>
      <c r="F587" s="825"/>
      <c r="G587" s="825"/>
      <c r="H587" s="825"/>
      <c r="I587" s="825"/>
      <c r="J587" s="825"/>
      <c r="K587" s="825"/>
      <c r="L587" s="825"/>
      <c r="M587" s="825"/>
      <c r="N587" s="825"/>
      <c r="O587" s="825"/>
    </row>
    <row r="588" spans="1:15" ht="16.5" customHeight="1" x14ac:dyDescent="0.3">
      <c r="A588" s="825"/>
      <c r="B588" s="825"/>
      <c r="C588" s="825"/>
      <c r="D588" s="825"/>
      <c r="E588" s="825"/>
      <c r="F588" s="825"/>
      <c r="G588" s="825"/>
      <c r="H588" s="825"/>
      <c r="I588" s="825"/>
      <c r="J588" s="825"/>
      <c r="K588" s="825"/>
      <c r="L588" s="825"/>
      <c r="M588" s="825"/>
      <c r="N588" s="825"/>
      <c r="O588" s="825"/>
    </row>
    <row r="589" spans="1:15" ht="16.5" customHeight="1" x14ac:dyDescent="0.3">
      <c r="A589" s="825"/>
      <c r="B589" s="825"/>
      <c r="C589" s="825"/>
      <c r="D589" s="825"/>
      <c r="E589" s="825"/>
      <c r="F589" s="825"/>
      <c r="G589" s="825"/>
      <c r="H589" s="825"/>
      <c r="I589" s="825"/>
      <c r="J589" s="825"/>
      <c r="K589" s="825"/>
      <c r="L589" s="825"/>
      <c r="M589" s="825"/>
      <c r="N589" s="825"/>
      <c r="O589" s="825"/>
    </row>
    <row r="590" spans="1:15" ht="16.5" customHeight="1" x14ac:dyDescent="0.3">
      <c r="A590" s="825"/>
      <c r="B590" s="825"/>
      <c r="C590" s="825"/>
      <c r="D590" s="825"/>
      <c r="E590" s="825"/>
      <c r="F590" s="825"/>
      <c r="G590" s="825"/>
      <c r="H590" s="825"/>
      <c r="I590" s="825"/>
      <c r="J590" s="825"/>
      <c r="K590" s="825"/>
      <c r="L590" s="825"/>
      <c r="M590" s="825"/>
      <c r="N590" s="825"/>
      <c r="O590" s="825"/>
    </row>
    <row r="591" spans="1:15" ht="16.5" customHeight="1" x14ac:dyDescent="0.3">
      <c r="A591" s="825"/>
      <c r="B591" s="825"/>
      <c r="C591" s="825"/>
      <c r="D591" s="825"/>
      <c r="E591" s="825"/>
      <c r="F591" s="825"/>
      <c r="G591" s="825"/>
      <c r="H591" s="825"/>
      <c r="I591" s="825"/>
      <c r="J591" s="825"/>
      <c r="K591" s="825"/>
      <c r="L591" s="825"/>
      <c r="M591" s="825"/>
      <c r="N591" s="825"/>
      <c r="O591" s="825"/>
    </row>
    <row r="592" spans="1:15" ht="16.5" customHeight="1" x14ac:dyDescent="0.3">
      <c r="A592" s="825"/>
      <c r="B592" s="825"/>
      <c r="C592" s="825"/>
      <c r="D592" s="825"/>
      <c r="E592" s="825"/>
      <c r="F592" s="825"/>
      <c r="G592" s="825"/>
      <c r="H592" s="825"/>
      <c r="I592" s="825"/>
      <c r="J592" s="825"/>
      <c r="K592" s="825"/>
      <c r="L592" s="825"/>
      <c r="M592" s="825"/>
      <c r="N592" s="825"/>
      <c r="O592" s="825"/>
    </row>
    <row r="593" spans="1:15" ht="16.5" customHeight="1" x14ac:dyDescent="0.3">
      <c r="A593" s="825"/>
      <c r="B593" s="825"/>
      <c r="C593" s="825"/>
      <c r="D593" s="825"/>
      <c r="E593" s="825"/>
      <c r="F593" s="825"/>
      <c r="G593" s="825"/>
      <c r="H593" s="825"/>
      <c r="I593" s="825"/>
      <c r="J593" s="825"/>
      <c r="K593" s="825"/>
      <c r="L593" s="825"/>
      <c r="M593" s="825"/>
      <c r="N593" s="825"/>
      <c r="O593" s="825"/>
    </row>
    <row r="594" spans="1:15" ht="16.5" customHeight="1" x14ac:dyDescent="0.3">
      <c r="A594" s="825"/>
      <c r="B594" s="825"/>
      <c r="C594" s="825"/>
      <c r="D594" s="825"/>
      <c r="E594" s="825"/>
      <c r="F594" s="825"/>
      <c r="G594" s="825"/>
      <c r="H594" s="825"/>
      <c r="I594" s="825"/>
      <c r="J594" s="825"/>
      <c r="K594" s="825"/>
      <c r="L594" s="825"/>
      <c r="M594" s="825"/>
      <c r="N594" s="825"/>
      <c r="O594" s="825"/>
    </row>
    <row r="595" spans="1:15" ht="16.5" customHeight="1" x14ac:dyDescent="0.3">
      <c r="A595" s="825"/>
      <c r="B595" s="825"/>
      <c r="C595" s="825"/>
      <c r="D595" s="825"/>
      <c r="E595" s="825"/>
      <c r="F595" s="825"/>
      <c r="G595" s="825"/>
      <c r="H595" s="825"/>
      <c r="I595" s="825"/>
      <c r="J595" s="825"/>
      <c r="K595" s="825"/>
      <c r="L595" s="825"/>
      <c r="M595" s="825"/>
      <c r="N595" s="825"/>
      <c r="O595" s="825"/>
    </row>
    <row r="596" spans="1:15" ht="16.5" customHeight="1" x14ac:dyDescent="0.3">
      <c r="A596" s="825"/>
      <c r="B596" s="825"/>
      <c r="C596" s="825"/>
      <c r="D596" s="825"/>
      <c r="E596" s="825"/>
      <c r="F596" s="825"/>
      <c r="G596" s="825"/>
      <c r="H596" s="825"/>
      <c r="I596" s="825"/>
      <c r="J596" s="825"/>
      <c r="K596" s="825"/>
      <c r="L596" s="825"/>
      <c r="M596" s="825"/>
      <c r="N596" s="825"/>
      <c r="O596" s="825"/>
    </row>
    <row r="597" spans="1:15" ht="16.5" customHeight="1" x14ac:dyDescent="0.3">
      <c r="A597" s="825"/>
      <c r="B597" s="825"/>
      <c r="C597" s="825"/>
      <c r="D597" s="825"/>
      <c r="E597" s="825"/>
      <c r="F597" s="825"/>
      <c r="G597" s="825"/>
      <c r="H597" s="825"/>
      <c r="I597" s="825"/>
      <c r="J597" s="825"/>
      <c r="K597" s="825"/>
      <c r="L597" s="825"/>
      <c r="M597" s="825"/>
      <c r="N597" s="825"/>
      <c r="O597" s="825"/>
    </row>
    <row r="598" spans="1:15" ht="16.5" customHeight="1" x14ac:dyDescent="0.3">
      <c r="A598" s="825"/>
      <c r="B598" s="825"/>
      <c r="C598" s="825"/>
      <c r="D598" s="825"/>
      <c r="E598" s="825"/>
      <c r="F598" s="825"/>
      <c r="G598" s="825"/>
      <c r="H598" s="825"/>
      <c r="I598" s="825"/>
      <c r="J598" s="825"/>
      <c r="K598" s="825"/>
      <c r="L598" s="825"/>
      <c r="M598" s="825"/>
      <c r="N598" s="825"/>
      <c r="O598" s="825"/>
    </row>
    <row r="599" spans="1:15" ht="16.5" customHeight="1" x14ac:dyDescent="0.3">
      <c r="A599" s="825"/>
      <c r="B599" s="825"/>
      <c r="C599" s="825"/>
      <c r="D599" s="825"/>
      <c r="E599" s="825"/>
      <c r="F599" s="825"/>
      <c r="G599" s="825"/>
      <c r="H599" s="825"/>
      <c r="I599" s="825"/>
      <c r="J599" s="825"/>
      <c r="K599" s="825"/>
      <c r="L599" s="825"/>
      <c r="M599" s="825"/>
      <c r="N599" s="825"/>
      <c r="O599" s="825"/>
    </row>
    <row r="600" spans="1:15" ht="16.5" customHeight="1" x14ac:dyDescent="0.3">
      <c r="A600" s="825"/>
      <c r="B600" s="825"/>
      <c r="C600" s="825"/>
      <c r="D600" s="825"/>
      <c r="E600" s="825"/>
      <c r="F600" s="825"/>
      <c r="G600" s="825"/>
      <c r="H600" s="825"/>
      <c r="I600" s="825"/>
      <c r="J600" s="825"/>
      <c r="K600" s="825"/>
      <c r="L600" s="825"/>
      <c r="M600" s="825"/>
      <c r="N600" s="825"/>
      <c r="O600" s="825"/>
    </row>
    <row r="601" spans="1:15" ht="16.5" customHeight="1" x14ac:dyDescent="0.3">
      <c r="A601" s="825"/>
      <c r="B601" s="825"/>
      <c r="C601" s="825"/>
      <c r="D601" s="825"/>
      <c r="E601" s="825"/>
      <c r="F601" s="825"/>
      <c r="G601" s="825"/>
      <c r="H601" s="825"/>
      <c r="I601" s="825"/>
      <c r="J601" s="825"/>
      <c r="K601" s="825"/>
      <c r="L601" s="825"/>
      <c r="M601" s="825"/>
      <c r="N601" s="825"/>
      <c r="O601" s="825"/>
    </row>
    <row r="602" spans="1:15" ht="16.5" customHeight="1" x14ac:dyDescent="0.3">
      <c r="A602" s="825"/>
      <c r="B602" s="825"/>
      <c r="C602" s="825"/>
      <c r="D602" s="825"/>
      <c r="E602" s="825"/>
      <c r="F602" s="825"/>
      <c r="G602" s="825"/>
      <c r="H602" s="825"/>
      <c r="I602" s="825"/>
      <c r="J602" s="825"/>
      <c r="K602" s="825"/>
      <c r="L602" s="825"/>
      <c r="M602" s="825"/>
      <c r="N602" s="825"/>
      <c r="O602" s="825"/>
    </row>
    <row r="603" spans="1:15" ht="16.5" customHeight="1" x14ac:dyDescent="0.3">
      <c r="A603" s="825"/>
      <c r="B603" s="825"/>
      <c r="C603" s="825"/>
      <c r="D603" s="825"/>
      <c r="E603" s="825"/>
      <c r="F603" s="825"/>
      <c r="G603" s="825"/>
      <c r="H603" s="825"/>
      <c r="I603" s="825"/>
      <c r="J603" s="825"/>
      <c r="K603" s="825"/>
      <c r="L603" s="825"/>
      <c r="M603" s="825"/>
      <c r="N603" s="825"/>
      <c r="O603" s="825"/>
    </row>
    <row r="604" spans="1:15" ht="16.5" customHeight="1" x14ac:dyDescent="0.3">
      <c r="A604" s="825"/>
      <c r="B604" s="825"/>
      <c r="C604" s="825"/>
      <c r="D604" s="825"/>
      <c r="E604" s="825"/>
      <c r="F604" s="825"/>
      <c r="G604" s="825"/>
      <c r="H604" s="825"/>
      <c r="I604" s="825"/>
      <c r="J604" s="825"/>
      <c r="K604" s="825"/>
      <c r="L604" s="825"/>
      <c r="M604" s="825"/>
      <c r="N604" s="825"/>
      <c r="O604" s="825"/>
    </row>
    <row r="605" spans="1:15" ht="16.5" customHeight="1" x14ac:dyDescent="0.3">
      <c r="A605" s="825"/>
      <c r="B605" s="825"/>
      <c r="C605" s="825"/>
      <c r="D605" s="825"/>
      <c r="E605" s="825"/>
      <c r="F605" s="825"/>
      <c r="G605" s="825"/>
      <c r="H605" s="825"/>
      <c r="I605" s="825"/>
      <c r="J605" s="825"/>
      <c r="K605" s="825"/>
      <c r="L605" s="825"/>
      <c r="M605" s="825"/>
      <c r="N605" s="825"/>
      <c r="O605" s="825"/>
    </row>
    <row r="606" spans="1:15" ht="16.5" customHeight="1" x14ac:dyDescent="0.3">
      <c r="A606" s="825"/>
      <c r="B606" s="825"/>
      <c r="C606" s="825"/>
      <c r="D606" s="825"/>
      <c r="E606" s="825"/>
      <c r="F606" s="825"/>
      <c r="G606" s="825"/>
      <c r="H606" s="825"/>
      <c r="I606" s="825"/>
      <c r="J606" s="825"/>
      <c r="K606" s="825"/>
      <c r="L606" s="825"/>
      <c r="M606" s="825"/>
      <c r="N606" s="825"/>
      <c r="O606" s="825"/>
    </row>
    <row r="607" spans="1:15" ht="16.5" customHeight="1" x14ac:dyDescent="0.3">
      <c r="A607" s="825"/>
      <c r="B607" s="825"/>
      <c r="C607" s="825"/>
      <c r="D607" s="825"/>
      <c r="E607" s="825"/>
      <c r="F607" s="825"/>
      <c r="G607" s="825"/>
      <c r="H607" s="825"/>
      <c r="I607" s="825"/>
      <c r="J607" s="825"/>
      <c r="K607" s="825"/>
      <c r="L607" s="825"/>
      <c r="M607" s="825"/>
      <c r="N607" s="825"/>
      <c r="O607" s="825"/>
    </row>
    <row r="608" spans="1:15" ht="16.5" customHeight="1" x14ac:dyDescent="0.3">
      <c r="A608" s="825"/>
      <c r="B608" s="825"/>
      <c r="C608" s="825"/>
      <c r="D608" s="825"/>
      <c r="E608" s="825"/>
      <c r="F608" s="825"/>
      <c r="G608" s="825"/>
      <c r="H608" s="825"/>
      <c r="I608" s="825"/>
      <c r="J608" s="825"/>
      <c r="K608" s="825"/>
      <c r="L608" s="825"/>
      <c r="M608" s="825"/>
      <c r="N608" s="825"/>
      <c r="O608" s="825"/>
    </row>
    <row r="609" spans="1:15" ht="16.5" customHeight="1" x14ac:dyDescent="0.3">
      <c r="A609" s="825"/>
      <c r="B609" s="825"/>
      <c r="C609" s="825"/>
      <c r="D609" s="825"/>
      <c r="E609" s="825"/>
      <c r="F609" s="825"/>
      <c r="G609" s="825"/>
      <c r="H609" s="825"/>
      <c r="I609" s="825"/>
      <c r="J609" s="825"/>
      <c r="K609" s="825"/>
      <c r="L609" s="825"/>
      <c r="M609" s="825"/>
      <c r="N609" s="825"/>
      <c r="O609" s="825"/>
    </row>
    <row r="610" spans="1:15" ht="16.5" customHeight="1" x14ac:dyDescent="0.3">
      <c r="A610" s="825"/>
      <c r="B610" s="825"/>
      <c r="C610" s="825"/>
      <c r="D610" s="825"/>
      <c r="E610" s="825"/>
      <c r="F610" s="825"/>
      <c r="G610" s="825"/>
      <c r="H610" s="825"/>
      <c r="I610" s="825"/>
      <c r="J610" s="825"/>
      <c r="K610" s="825"/>
      <c r="L610" s="825"/>
      <c r="M610" s="825"/>
      <c r="N610" s="825"/>
      <c r="O610" s="825"/>
    </row>
    <row r="611" spans="1:15" ht="16.5" customHeight="1" x14ac:dyDescent="0.3">
      <c r="A611" s="825"/>
      <c r="B611" s="825"/>
      <c r="C611" s="825"/>
      <c r="D611" s="825"/>
      <c r="E611" s="825"/>
      <c r="F611" s="825"/>
      <c r="G611" s="825"/>
      <c r="H611" s="825"/>
      <c r="I611" s="825"/>
      <c r="J611" s="825"/>
      <c r="K611" s="825"/>
      <c r="L611" s="825"/>
      <c r="M611" s="825"/>
      <c r="N611" s="825"/>
      <c r="O611" s="825"/>
    </row>
    <row r="612" spans="1:15" ht="16.5" customHeight="1" x14ac:dyDescent="0.3">
      <c r="A612" s="825"/>
      <c r="B612" s="825"/>
      <c r="C612" s="825"/>
      <c r="D612" s="825"/>
      <c r="E612" s="825"/>
      <c r="F612" s="825"/>
      <c r="G612" s="825"/>
      <c r="H612" s="825"/>
      <c r="I612" s="825"/>
      <c r="J612" s="825"/>
      <c r="K612" s="825"/>
      <c r="L612" s="825"/>
      <c r="M612" s="825"/>
      <c r="N612" s="825"/>
      <c r="O612" s="825"/>
    </row>
    <row r="613" spans="1:15" ht="16.5" customHeight="1" x14ac:dyDescent="0.3">
      <c r="A613" s="825"/>
      <c r="B613" s="825"/>
      <c r="C613" s="825"/>
      <c r="D613" s="825"/>
      <c r="E613" s="825"/>
      <c r="F613" s="825"/>
      <c r="G613" s="825"/>
      <c r="H613" s="825"/>
      <c r="I613" s="825"/>
      <c r="J613" s="825"/>
      <c r="K613" s="825"/>
      <c r="L613" s="825"/>
      <c r="M613" s="825"/>
      <c r="N613" s="825"/>
      <c r="O613" s="825"/>
    </row>
    <row r="614" spans="1:15" ht="16.5" customHeight="1" x14ac:dyDescent="0.3">
      <c r="A614" s="825"/>
      <c r="B614" s="825"/>
      <c r="C614" s="825"/>
      <c r="D614" s="825"/>
      <c r="E614" s="825"/>
      <c r="F614" s="825"/>
      <c r="G614" s="825"/>
      <c r="H614" s="825"/>
      <c r="I614" s="825"/>
      <c r="J614" s="825"/>
      <c r="K614" s="825"/>
      <c r="L614" s="825"/>
      <c r="M614" s="825"/>
      <c r="N614" s="825"/>
      <c r="O614" s="825"/>
    </row>
    <row r="615" spans="1:15" ht="16.5" customHeight="1" x14ac:dyDescent="0.3">
      <c r="A615" s="825"/>
      <c r="B615" s="825"/>
      <c r="C615" s="825"/>
      <c r="D615" s="825"/>
      <c r="E615" s="825"/>
      <c r="F615" s="825"/>
      <c r="G615" s="825"/>
      <c r="H615" s="825"/>
      <c r="I615" s="825"/>
      <c r="J615" s="825"/>
      <c r="K615" s="825"/>
      <c r="L615" s="825"/>
      <c r="M615" s="825"/>
      <c r="N615" s="825"/>
      <c r="O615" s="825"/>
    </row>
    <row r="616" spans="1:15" ht="16.5" customHeight="1" x14ac:dyDescent="0.3">
      <c r="A616" s="825"/>
      <c r="B616" s="825"/>
      <c r="C616" s="825"/>
      <c r="D616" s="825"/>
      <c r="E616" s="825"/>
      <c r="F616" s="825"/>
      <c r="G616" s="825"/>
      <c r="H616" s="825"/>
      <c r="I616" s="825"/>
      <c r="J616" s="825"/>
      <c r="K616" s="825"/>
      <c r="L616" s="825"/>
      <c r="M616" s="825"/>
      <c r="N616" s="825"/>
      <c r="O616" s="825"/>
    </row>
    <row r="617" spans="1:15" ht="16.5" customHeight="1" x14ac:dyDescent="0.3">
      <c r="A617" s="825"/>
      <c r="B617" s="825"/>
      <c r="C617" s="825"/>
      <c r="D617" s="825"/>
      <c r="E617" s="825"/>
      <c r="F617" s="825"/>
      <c r="G617" s="825"/>
      <c r="H617" s="825"/>
      <c r="I617" s="825"/>
      <c r="J617" s="825"/>
      <c r="K617" s="825"/>
      <c r="L617" s="825"/>
      <c r="M617" s="825"/>
      <c r="N617" s="825"/>
      <c r="O617" s="825"/>
    </row>
    <row r="618" spans="1:15" ht="16.5" customHeight="1" x14ac:dyDescent="0.3">
      <c r="A618" s="825"/>
      <c r="B618" s="825"/>
      <c r="C618" s="825"/>
      <c r="D618" s="825"/>
      <c r="E618" s="825"/>
      <c r="F618" s="825"/>
      <c r="G618" s="825"/>
      <c r="H618" s="825"/>
      <c r="I618" s="825"/>
      <c r="J618" s="825"/>
      <c r="K618" s="825"/>
      <c r="L618" s="825"/>
      <c r="M618" s="825"/>
      <c r="N618" s="825"/>
      <c r="O618" s="825"/>
    </row>
    <row r="619" spans="1:15" ht="16.5" customHeight="1" x14ac:dyDescent="0.3">
      <c r="A619" s="825"/>
      <c r="B619" s="825"/>
      <c r="C619" s="825"/>
      <c r="D619" s="825"/>
      <c r="E619" s="825"/>
      <c r="F619" s="825"/>
      <c r="G619" s="825"/>
      <c r="H619" s="825"/>
      <c r="I619" s="825"/>
      <c r="J619" s="825"/>
      <c r="K619" s="825"/>
      <c r="L619" s="825"/>
      <c r="M619" s="825"/>
      <c r="N619" s="825"/>
      <c r="O619" s="825"/>
    </row>
    <row r="620" spans="1:15" ht="16.5" customHeight="1" x14ac:dyDescent="0.3">
      <c r="A620" s="825"/>
      <c r="B620" s="825"/>
      <c r="C620" s="825"/>
      <c r="D620" s="825"/>
      <c r="E620" s="825"/>
      <c r="F620" s="825"/>
      <c r="G620" s="825"/>
      <c r="H620" s="825"/>
      <c r="I620" s="825"/>
      <c r="J620" s="825"/>
      <c r="K620" s="825"/>
      <c r="L620" s="825"/>
      <c r="M620" s="825"/>
      <c r="N620" s="825"/>
      <c r="O620" s="825"/>
    </row>
    <row r="621" spans="1:15" ht="16.5" customHeight="1" x14ac:dyDescent="0.3">
      <c r="A621" s="825"/>
      <c r="B621" s="825"/>
      <c r="C621" s="825"/>
      <c r="D621" s="825"/>
      <c r="E621" s="825"/>
      <c r="F621" s="825"/>
      <c r="G621" s="825"/>
      <c r="H621" s="825"/>
      <c r="I621" s="825"/>
      <c r="J621" s="825"/>
      <c r="K621" s="825"/>
      <c r="L621" s="825"/>
      <c r="M621" s="825"/>
      <c r="N621" s="825"/>
      <c r="O621" s="825"/>
    </row>
    <row r="622" spans="1:15" ht="16.5" customHeight="1" x14ac:dyDescent="0.3">
      <c r="A622" s="825"/>
      <c r="B622" s="825"/>
      <c r="C622" s="825"/>
      <c r="D622" s="825"/>
      <c r="E622" s="825"/>
      <c r="F622" s="825"/>
      <c r="G622" s="825"/>
      <c r="H622" s="825"/>
      <c r="I622" s="825"/>
      <c r="J622" s="825"/>
      <c r="K622" s="825"/>
      <c r="L622" s="825"/>
      <c r="M622" s="825"/>
      <c r="N622" s="825"/>
      <c r="O622" s="825"/>
    </row>
    <row r="623" spans="1:15" ht="16.5" customHeight="1" x14ac:dyDescent="0.3">
      <c r="A623" s="825"/>
      <c r="B623" s="825"/>
      <c r="C623" s="825"/>
      <c r="D623" s="825"/>
      <c r="E623" s="825"/>
      <c r="F623" s="825"/>
      <c r="G623" s="825"/>
      <c r="H623" s="825"/>
      <c r="I623" s="825"/>
      <c r="J623" s="825"/>
      <c r="K623" s="825"/>
      <c r="L623" s="825"/>
      <c r="M623" s="825"/>
      <c r="N623" s="825"/>
      <c r="O623" s="825"/>
    </row>
    <row r="624" spans="1:15" ht="16.5" customHeight="1" x14ac:dyDescent="0.3">
      <c r="A624" s="825"/>
      <c r="B624" s="825"/>
      <c r="C624" s="825"/>
      <c r="D624" s="825"/>
      <c r="E624" s="825"/>
      <c r="F624" s="825"/>
      <c r="G624" s="825"/>
      <c r="H624" s="825"/>
      <c r="I624" s="825"/>
      <c r="J624" s="825"/>
      <c r="K624" s="825"/>
      <c r="L624" s="825"/>
      <c r="M624" s="825"/>
      <c r="N624" s="825"/>
      <c r="O624" s="825"/>
    </row>
    <row r="625" spans="1:15" ht="16.5" customHeight="1" x14ac:dyDescent="0.3">
      <c r="A625" s="825"/>
      <c r="B625" s="825"/>
      <c r="C625" s="825"/>
      <c r="D625" s="825"/>
      <c r="E625" s="825"/>
      <c r="F625" s="825"/>
      <c r="G625" s="825"/>
      <c r="H625" s="825"/>
      <c r="I625" s="825"/>
      <c r="J625" s="825"/>
      <c r="K625" s="825"/>
      <c r="L625" s="825"/>
      <c r="M625" s="825"/>
      <c r="N625" s="825"/>
      <c r="O625" s="825"/>
    </row>
    <row r="626" spans="1:15" ht="16.5" customHeight="1" x14ac:dyDescent="0.3">
      <c r="A626" s="825"/>
      <c r="B626" s="825"/>
      <c r="C626" s="825"/>
      <c r="D626" s="825"/>
      <c r="E626" s="825"/>
      <c r="F626" s="825"/>
      <c r="G626" s="825"/>
      <c r="H626" s="825"/>
      <c r="I626" s="825"/>
      <c r="J626" s="825"/>
      <c r="K626" s="825"/>
      <c r="L626" s="825"/>
      <c r="M626" s="825"/>
      <c r="N626" s="825"/>
      <c r="O626" s="825"/>
    </row>
    <row r="627" spans="1:15" ht="16.5" customHeight="1" x14ac:dyDescent="0.3">
      <c r="A627" s="825"/>
      <c r="B627" s="825"/>
      <c r="C627" s="825"/>
      <c r="D627" s="825"/>
      <c r="E627" s="825"/>
      <c r="F627" s="825"/>
      <c r="G627" s="825"/>
      <c r="H627" s="825"/>
      <c r="I627" s="825"/>
      <c r="J627" s="825"/>
      <c r="K627" s="825"/>
      <c r="L627" s="825"/>
      <c r="M627" s="825"/>
      <c r="N627" s="825"/>
      <c r="O627" s="825"/>
    </row>
    <row r="628" spans="1:15" ht="16.5" customHeight="1" x14ac:dyDescent="0.3">
      <c r="A628" s="825"/>
      <c r="B628" s="825"/>
      <c r="C628" s="825"/>
      <c r="D628" s="825"/>
      <c r="E628" s="825"/>
      <c r="F628" s="825"/>
      <c r="G628" s="825"/>
      <c r="H628" s="825"/>
      <c r="I628" s="825"/>
      <c r="J628" s="825"/>
      <c r="K628" s="825"/>
      <c r="L628" s="825"/>
      <c r="M628" s="825"/>
      <c r="N628" s="825"/>
      <c r="O628" s="825"/>
    </row>
    <row r="629" spans="1:15" ht="16.5" customHeight="1" x14ac:dyDescent="0.3">
      <c r="A629" s="825"/>
      <c r="B629" s="825"/>
      <c r="C629" s="825"/>
      <c r="D629" s="825"/>
      <c r="E629" s="825"/>
      <c r="F629" s="825"/>
      <c r="G629" s="825"/>
      <c r="H629" s="825"/>
      <c r="I629" s="825"/>
      <c r="J629" s="825"/>
      <c r="K629" s="825"/>
      <c r="L629" s="825"/>
      <c r="M629" s="825"/>
      <c r="N629" s="825"/>
      <c r="O629" s="825"/>
    </row>
    <row r="630" spans="1:15" ht="16.5" customHeight="1" x14ac:dyDescent="0.3">
      <c r="A630" s="825"/>
      <c r="B630" s="825"/>
      <c r="C630" s="825"/>
      <c r="D630" s="825"/>
      <c r="E630" s="825"/>
      <c r="F630" s="825"/>
      <c r="G630" s="825"/>
      <c r="H630" s="825"/>
      <c r="I630" s="825"/>
      <c r="J630" s="825"/>
      <c r="K630" s="825"/>
      <c r="L630" s="825"/>
      <c r="M630" s="825"/>
      <c r="N630" s="825"/>
      <c r="O630" s="825"/>
    </row>
    <row r="631" spans="1:15" ht="16.5" customHeight="1" x14ac:dyDescent="0.3">
      <c r="A631" s="825"/>
      <c r="B631" s="825"/>
      <c r="C631" s="825"/>
      <c r="D631" s="825"/>
      <c r="E631" s="825"/>
      <c r="F631" s="825"/>
      <c r="G631" s="825"/>
      <c r="H631" s="825"/>
      <c r="I631" s="825"/>
      <c r="J631" s="825"/>
      <c r="K631" s="825"/>
      <c r="L631" s="825"/>
      <c r="M631" s="825"/>
      <c r="N631" s="825"/>
      <c r="O631" s="825"/>
    </row>
    <row r="632" spans="1:15" ht="16.5" customHeight="1" x14ac:dyDescent="0.3">
      <c r="A632" s="825"/>
      <c r="B632" s="825"/>
      <c r="C632" s="825"/>
      <c r="D632" s="825"/>
      <c r="E632" s="825"/>
      <c r="F632" s="825"/>
      <c r="G632" s="825"/>
      <c r="H632" s="825"/>
      <c r="I632" s="825"/>
      <c r="J632" s="825"/>
      <c r="K632" s="825"/>
      <c r="L632" s="825"/>
      <c r="M632" s="825"/>
      <c r="N632" s="825"/>
      <c r="O632" s="825"/>
    </row>
    <row r="633" spans="1:15" ht="16.5" customHeight="1" x14ac:dyDescent="0.3">
      <c r="A633" s="825"/>
      <c r="B633" s="825"/>
      <c r="C633" s="825"/>
      <c r="D633" s="825"/>
      <c r="E633" s="825"/>
      <c r="F633" s="825"/>
      <c r="G633" s="825"/>
      <c r="H633" s="825"/>
      <c r="I633" s="825"/>
      <c r="J633" s="825"/>
      <c r="K633" s="825"/>
      <c r="L633" s="825"/>
      <c r="M633" s="825"/>
      <c r="N633" s="825"/>
      <c r="O633" s="825"/>
    </row>
    <row r="634" spans="1:15" ht="16.5" customHeight="1" x14ac:dyDescent="0.3">
      <c r="A634" s="825"/>
      <c r="B634" s="825"/>
      <c r="C634" s="825"/>
      <c r="D634" s="825"/>
      <c r="E634" s="825"/>
      <c r="F634" s="825"/>
      <c r="G634" s="825"/>
      <c r="H634" s="825"/>
      <c r="I634" s="825"/>
      <c r="J634" s="825"/>
      <c r="K634" s="825"/>
      <c r="L634" s="825"/>
      <c r="M634" s="825"/>
      <c r="N634" s="825"/>
      <c r="O634" s="825"/>
    </row>
    <row r="635" spans="1:15" ht="16.5" customHeight="1" x14ac:dyDescent="0.3">
      <c r="A635" s="825"/>
      <c r="B635" s="825"/>
      <c r="C635" s="825"/>
      <c r="D635" s="825"/>
      <c r="E635" s="825"/>
      <c r="F635" s="825"/>
      <c r="G635" s="825"/>
      <c r="H635" s="825"/>
      <c r="I635" s="825"/>
      <c r="J635" s="825"/>
      <c r="K635" s="825"/>
      <c r="L635" s="825"/>
      <c r="M635" s="825"/>
      <c r="N635" s="825"/>
      <c r="O635" s="825"/>
    </row>
    <row r="636" spans="1:15" ht="16.5" customHeight="1" x14ac:dyDescent="0.3">
      <c r="A636" s="825"/>
      <c r="B636" s="825"/>
      <c r="C636" s="825"/>
      <c r="D636" s="825"/>
      <c r="E636" s="825"/>
      <c r="F636" s="825"/>
      <c r="G636" s="825"/>
      <c r="H636" s="825"/>
      <c r="I636" s="825"/>
      <c r="J636" s="825"/>
      <c r="K636" s="825"/>
      <c r="L636" s="825"/>
      <c r="M636" s="825"/>
      <c r="N636" s="825"/>
      <c r="O636" s="825"/>
    </row>
    <row r="637" spans="1:15" ht="16.5" customHeight="1" x14ac:dyDescent="0.3">
      <c r="A637" s="825"/>
      <c r="B637" s="825"/>
      <c r="C637" s="825"/>
      <c r="D637" s="825"/>
      <c r="E637" s="825"/>
      <c r="F637" s="825"/>
      <c r="G637" s="825"/>
      <c r="H637" s="825"/>
      <c r="I637" s="825"/>
      <c r="J637" s="825"/>
      <c r="K637" s="825"/>
      <c r="L637" s="825"/>
      <c r="M637" s="825"/>
      <c r="N637" s="825"/>
      <c r="O637" s="825"/>
    </row>
    <row r="638" spans="1:15" ht="16.5" customHeight="1" x14ac:dyDescent="0.3">
      <c r="A638" s="825"/>
      <c r="B638" s="825"/>
      <c r="C638" s="825"/>
      <c r="D638" s="825"/>
      <c r="E638" s="825"/>
      <c r="F638" s="825"/>
      <c r="G638" s="825"/>
      <c r="H638" s="825"/>
      <c r="I638" s="825"/>
      <c r="J638" s="825"/>
      <c r="K638" s="825"/>
      <c r="L638" s="825"/>
      <c r="M638" s="825"/>
      <c r="N638" s="825"/>
      <c r="O638" s="825"/>
    </row>
    <row r="639" spans="1:15" ht="16.5" customHeight="1" x14ac:dyDescent="0.3">
      <c r="A639" s="825"/>
      <c r="B639" s="825"/>
      <c r="C639" s="825"/>
      <c r="D639" s="825"/>
      <c r="E639" s="825"/>
      <c r="F639" s="825"/>
      <c r="G639" s="825"/>
      <c r="H639" s="825"/>
      <c r="I639" s="825"/>
      <c r="J639" s="825"/>
      <c r="K639" s="825"/>
      <c r="L639" s="825"/>
      <c r="M639" s="825"/>
      <c r="N639" s="825"/>
      <c r="O639" s="825"/>
    </row>
    <row r="640" spans="1:15" ht="16.5" customHeight="1" x14ac:dyDescent="0.3">
      <c r="A640" s="825"/>
      <c r="B640" s="825"/>
      <c r="C640" s="825"/>
      <c r="D640" s="825"/>
      <c r="E640" s="825"/>
      <c r="F640" s="825"/>
      <c r="G640" s="825"/>
      <c r="H640" s="825"/>
      <c r="I640" s="825"/>
      <c r="J640" s="825"/>
      <c r="K640" s="825"/>
      <c r="L640" s="825"/>
      <c r="M640" s="825"/>
      <c r="N640" s="825"/>
      <c r="O640" s="825"/>
    </row>
    <row r="641" spans="1:15" ht="16.5" customHeight="1" x14ac:dyDescent="0.3">
      <c r="A641" s="825"/>
      <c r="B641" s="825"/>
      <c r="C641" s="825"/>
      <c r="D641" s="825"/>
      <c r="E641" s="825"/>
      <c r="F641" s="825"/>
      <c r="G641" s="825"/>
      <c r="H641" s="825"/>
      <c r="I641" s="825"/>
      <c r="J641" s="825"/>
      <c r="K641" s="825"/>
      <c r="L641" s="825"/>
      <c r="M641" s="825"/>
      <c r="N641" s="825"/>
      <c r="O641" s="825"/>
    </row>
    <row r="642" spans="1:15" ht="16.5" customHeight="1" x14ac:dyDescent="0.3">
      <c r="A642" s="825"/>
      <c r="B642" s="825"/>
      <c r="C642" s="825"/>
      <c r="D642" s="825"/>
      <c r="E642" s="825"/>
      <c r="F642" s="825"/>
      <c r="G642" s="825"/>
      <c r="H642" s="825"/>
      <c r="I642" s="825"/>
      <c r="J642" s="825"/>
      <c r="K642" s="825"/>
      <c r="L642" s="825"/>
      <c r="M642" s="825"/>
      <c r="N642" s="825"/>
      <c r="O642" s="825"/>
    </row>
    <row r="643" spans="1:15" ht="16.5" customHeight="1" x14ac:dyDescent="0.3">
      <c r="A643" s="825"/>
      <c r="B643" s="825"/>
      <c r="C643" s="825"/>
      <c r="D643" s="825"/>
      <c r="E643" s="825"/>
      <c r="F643" s="825"/>
      <c r="G643" s="825"/>
      <c r="H643" s="825"/>
      <c r="I643" s="825"/>
      <c r="J643" s="825"/>
      <c r="K643" s="825"/>
      <c r="L643" s="825"/>
      <c r="M643" s="825"/>
      <c r="N643" s="825"/>
      <c r="O643" s="825"/>
    </row>
    <row r="644" spans="1:15" ht="16.5" customHeight="1" x14ac:dyDescent="0.3">
      <c r="A644" s="825"/>
      <c r="B644" s="825"/>
      <c r="C644" s="825"/>
      <c r="D644" s="825"/>
      <c r="E644" s="825"/>
      <c r="F644" s="825"/>
      <c r="G644" s="825"/>
      <c r="H644" s="825"/>
      <c r="I644" s="825"/>
      <c r="J644" s="825"/>
      <c r="K644" s="825"/>
      <c r="L644" s="825"/>
      <c r="M644" s="825"/>
      <c r="N644" s="825"/>
      <c r="O644" s="825"/>
    </row>
    <row r="645" spans="1:15" ht="16.5" customHeight="1" x14ac:dyDescent="0.3">
      <c r="A645" s="825"/>
      <c r="B645" s="825"/>
      <c r="C645" s="825"/>
      <c r="D645" s="825"/>
      <c r="E645" s="825"/>
      <c r="F645" s="825"/>
      <c r="G645" s="825"/>
      <c r="H645" s="825"/>
      <c r="I645" s="825"/>
      <c r="J645" s="825"/>
      <c r="K645" s="825"/>
      <c r="L645" s="825"/>
      <c r="M645" s="825"/>
      <c r="N645" s="825"/>
      <c r="O645" s="825"/>
    </row>
    <row r="646" spans="1:15" ht="16.5" customHeight="1" x14ac:dyDescent="0.3">
      <c r="A646" s="825"/>
      <c r="B646" s="825"/>
      <c r="C646" s="825"/>
      <c r="D646" s="825"/>
      <c r="E646" s="825"/>
      <c r="F646" s="825"/>
      <c r="G646" s="825"/>
      <c r="H646" s="825"/>
      <c r="I646" s="825"/>
      <c r="J646" s="825"/>
      <c r="K646" s="825"/>
      <c r="L646" s="825"/>
      <c r="M646" s="825"/>
      <c r="N646" s="825"/>
      <c r="O646" s="825"/>
    </row>
    <row r="647" spans="1:15" ht="16.5" customHeight="1" x14ac:dyDescent="0.3">
      <c r="A647" s="825"/>
      <c r="B647" s="825"/>
      <c r="C647" s="825"/>
      <c r="D647" s="825"/>
      <c r="E647" s="825"/>
      <c r="F647" s="825"/>
      <c r="G647" s="825"/>
      <c r="H647" s="825"/>
      <c r="I647" s="825"/>
      <c r="J647" s="825"/>
      <c r="K647" s="825"/>
      <c r="L647" s="825"/>
      <c r="M647" s="825"/>
      <c r="N647" s="825"/>
      <c r="O647" s="825"/>
    </row>
    <row r="648" spans="1:15" ht="16.5" customHeight="1" x14ac:dyDescent="0.3">
      <c r="A648" s="825"/>
      <c r="B648" s="825"/>
      <c r="C648" s="825"/>
      <c r="D648" s="825"/>
      <c r="E648" s="825"/>
      <c r="F648" s="825"/>
      <c r="G648" s="825"/>
      <c r="H648" s="825"/>
      <c r="I648" s="825"/>
      <c r="J648" s="825"/>
      <c r="K648" s="825"/>
      <c r="L648" s="825"/>
      <c r="M648" s="825"/>
      <c r="N648" s="825"/>
      <c r="O648" s="825"/>
    </row>
    <row r="649" spans="1:15" ht="16.5" customHeight="1" x14ac:dyDescent="0.3">
      <c r="A649" s="825"/>
      <c r="B649" s="825"/>
      <c r="C649" s="825"/>
      <c r="D649" s="825"/>
      <c r="E649" s="825"/>
      <c r="F649" s="825"/>
      <c r="G649" s="825"/>
      <c r="H649" s="825"/>
      <c r="I649" s="825"/>
      <c r="J649" s="825"/>
      <c r="K649" s="825"/>
      <c r="L649" s="825"/>
      <c r="M649" s="825"/>
      <c r="N649" s="825"/>
      <c r="O649" s="825"/>
    </row>
    <row r="650" spans="1:15" ht="16.5" customHeight="1" x14ac:dyDescent="0.3">
      <c r="A650" s="825"/>
      <c r="B650" s="825"/>
      <c r="C650" s="825"/>
      <c r="D650" s="825"/>
      <c r="E650" s="825"/>
      <c r="F650" s="825"/>
      <c r="G650" s="825"/>
      <c r="H650" s="825"/>
      <c r="I650" s="825"/>
      <c r="J650" s="825"/>
      <c r="K650" s="825"/>
      <c r="L650" s="825"/>
      <c r="M650" s="825"/>
      <c r="N650" s="825"/>
      <c r="O650" s="825"/>
    </row>
    <row r="651" spans="1:15" ht="16.5" customHeight="1" x14ac:dyDescent="0.3">
      <c r="A651" s="825"/>
      <c r="B651" s="825"/>
      <c r="C651" s="825"/>
      <c r="D651" s="825"/>
      <c r="E651" s="825"/>
      <c r="F651" s="825"/>
      <c r="G651" s="825"/>
      <c r="H651" s="825"/>
      <c r="I651" s="825"/>
      <c r="J651" s="825"/>
      <c r="K651" s="825"/>
      <c r="L651" s="825"/>
      <c r="M651" s="825"/>
      <c r="N651" s="825"/>
      <c r="O651" s="825"/>
    </row>
    <row r="652" spans="1:15" ht="16.5" customHeight="1" x14ac:dyDescent="0.3">
      <c r="A652" s="825"/>
      <c r="B652" s="825"/>
      <c r="C652" s="825"/>
      <c r="D652" s="825"/>
      <c r="E652" s="825"/>
      <c r="F652" s="825"/>
      <c r="G652" s="825"/>
      <c r="H652" s="825"/>
      <c r="I652" s="825"/>
      <c r="J652" s="825"/>
      <c r="K652" s="825"/>
      <c r="L652" s="825"/>
      <c r="M652" s="825"/>
      <c r="N652" s="825"/>
      <c r="O652" s="825"/>
    </row>
    <row r="653" spans="1:15" ht="16.5" customHeight="1" x14ac:dyDescent="0.3">
      <c r="A653" s="825"/>
      <c r="B653" s="825"/>
      <c r="C653" s="825"/>
      <c r="D653" s="825"/>
      <c r="E653" s="825"/>
      <c r="F653" s="825"/>
      <c r="G653" s="825"/>
      <c r="H653" s="825"/>
      <c r="I653" s="825"/>
      <c r="J653" s="825"/>
      <c r="K653" s="825"/>
      <c r="L653" s="825"/>
      <c r="M653" s="825"/>
      <c r="N653" s="825"/>
      <c r="O653" s="825"/>
    </row>
    <row r="654" spans="1:15" ht="16.5" customHeight="1" x14ac:dyDescent="0.3">
      <c r="A654" s="825"/>
      <c r="B654" s="825"/>
      <c r="C654" s="825"/>
      <c r="D654" s="825"/>
      <c r="E654" s="825"/>
      <c r="F654" s="825"/>
      <c r="G654" s="825"/>
      <c r="H654" s="825"/>
      <c r="I654" s="825"/>
      <c r="J654" s="825"/>
      <c r="K654" s="825"/>
      <c r="L654" s="825"/>
      <c r="M654" s="825"/>
      <c r="N654" s="825"/>
      <c r="O654" s="825"/>
    </row>
    <row r="655" spans="1:15" ht="16.5" customHeight="1" x14ac:dyDescent="0.3">
      <c r="A655" s="825"/>
      <c r="B655" s="825"/>
      <c r="C655" s="825"/>
      <c r="D655" s="825"/>
      <c r="E655" s="825"/>
      <c r="F655" s="825"/>
      <c r="G655" s="825"/>
      <c r="H655" s="825"/>
      <c r="I655" s="825"/>
      <c r="J655" s="825"/>
      <c r="K655" s="825"/>
      <c r="L655" s="825"/>
      <c r="M655" s="825"/>
      <c r="N655" s="825"/>
      <c r="O655" s="825"/>
    </row>
    <row r="656" spans="1:15" ht="16.5" customHeight="1" x14ac:dyDescent="0.3">
      <c r="A656" s="825"/>
      <c r="B656" s="825"/>
      <c r="C656" s="825"/>
      <c r="D656" s="825"/>
      <c r="E656" s="825"/>
      <c r="F656" s="825"/>
      <c r="G656" s="825"/>
      <c r="H656" s="825"/>
      <c r="I656" s="825"/>
      <c r="J656" s="825"/>
      <c r="K656" s="825"/>
      <c r="L656" s="825"/>
      <c r="M656" s="825"/>
      <c r="N656" s="825"/>
      <c r="O656" s="825"/>
    </row>
    <row r="657" spans="1:15" ht="16.5" customHeight="1" x14ac:dyDescent="0.3">
      <c r="A657" s="825"/>
      <c r="B657" s="825"/>
      <c r="C657" s="825"/>
      <c r="D657" s="825"/>
      <c r="E657" s="825"/>
      <c r="F657" s="825"/>
      <c r="G657" s="825"/>
      <c r="H657" s="825"/>
      <c r="I657" s="825"/>
      <c r="J657" s="825"/>
      <c r="K657" s="825"/>
      <c r="L657" s="825"/>
      <c r="M657" s="825"/>
      <c r="N657" s="825"/>
      <c r="O657" s="825"/>
    </row>
    <row r="658" spans="1:15" ht="16.5" customHeight="1" x14ac:dyDescent="0.3">
      <c r="A658" s="825"/>
      <c r="B658" s="825"/>
      <c r="C658" s="825"/>
      <c r="D658" s="825"/>
      <c r="E658" s="825"/>
      <c r="F658" s="825"/>
      <c r="G658" s="825"/>
      <c r="H658" s="825"/>
      <c r="I658" s="825"/>
      <c r="J658" s="825"/>
      <c r="K658" s="825"/>
      <c r="L658" s="825"/>
      <c r="M658" s="825"/>
      <c r="N658" s="825"/>
      <c r="O658" s="825"/>
    </row>
    <row r="659" spans="1:15" ht="16.5" customHeight="1" x14ac:dyDescent="0.3">
      <c r="A659" s="825"/>
      <c r="B659" s="825"/>
      <c r="C659" s="825"/>
      <c r="D659" s="825"/>
      <c r="E659" s="825"/>
      <c r="F659" s="825"/>
      <c r="G659" s="825"/>
      <c r="H659" s="825"/>
      <c r="I659" s="825"/>
      <c r="J659" s="825"/>
      <c r="K659" s="825"/>
      <c r="L659" s="825"/>
      <c r="M659" s="825"/>
      <c r="N659" s="825"/>
      <c r="O659" s="825"/>
    </row>
    <row r="660" spans="1:15" ht="16.5" customHeight="1" x14ac:dyDescent="0.3">
      <c r="A660" s="825"/>
      <c r="B660" s="825"/>
      <c r="C660" s="825"/>
      <c r="D660" s="825"/>
      <c r="E660" s="825"/>
      <c r="F660" s="825"/>
      <c r="G660" s="825"/>
      <c r="H660" s="825"/>
      <c r="I660" s="825"/>
      <c r="J660" s="825"/>
      <c r="K660" s="825"/>
      <c r="L660" s="825"/>
      <c r="M660" s="825"/>
      <c r="N660" s="825"/>
      <c r="O660" s="825"/>
    </row>
    <row r="661" spans="1:15" ht="16.5" customHeight="1" x14ac:dyDescent="0.3">
      <c r="A661" s="825"/>
      <c r="B661" s="825"/>
      <c r="C661" s="825"/>
      <c r="D661" s="825"/>
      <c r="E661" s="825"/>
      <c r="F661" s="825"/>
      <c r="G661" s="825"/>
      <c r="H661" s="825"/>
      <c r="I661" s="825"/>
      <c r="J661" s="825"/>
      <c r="K661" s="825"/>
      <c r="L661" s="825"/>
      <c r="M661" s="825"/>
      <c r="N661" s="825"/>
      <c r="O661" s="825"/>
    </row>
    <row r="662" spans="1:15" ht="16.5" customHeight="1" x14ac:dyDescent="0.3">
      <c r="A662" s="825"/>
      <c r="B662" s="825"/>
      <c r="C662" s="825"/>
      <c r="D662" s="825"/>
      <c r="E662" s="825"/>
      <c r="F662" s="825"/>
      <c r="G662" s="825"/>
      <c r="H662" s="825"/>
      <c r="I662" s="825"/>
      <c r="J662" s="825"/>
      <c r="K662" s="825"/>
      <c r="L662" s="825"/>
      <c r="M662" s="825"/>
      <c r="N662" s="825"/>
      <c r="O662" s="825"/>
    </row>
    <row r="663" spans="1:15" ht="16.5" customHeight="1" x14ac:dyDescent="0.3">
      <c r="A663" s="825"/>
      <c r="B663" s="825"/>
      <c r="C663" s="825"/>
      <c r="D663" s="825"/>
      <c r="E663" s="825"/>
      <c r="F663" s="825"/>
      <c r="G663" s="825"/>
      <c r="H663" s="825"/>
      <c r="I663" s="825"/>
      <c r="J663" s="825"/>
      <c r="K663" s="825"/>
      <c r="L663" s="825"/>
      <c r="M663" s="825"/>
      <c r="N663" s="825"/>
      <c r="O663" s="825"/>
    </row>
    <row r="664" spans="1:15" ht="16.5" customHeight="1" x14ac:dyDescent="0.3">
      <c r="A664" s="825"/>
      <c r="B664" s="825"/>
      <c r="C664" s="825"/>
      <c r="D664" s="825"/>
      <c r="E664" s="825"/>
      <c r="F664" s="825"/>
      <c r="G664" s="825"/>
      <c r="H664" s="825"/>
      <c r="I664" s="825"/>
      <c r="J664" s="825"/>
      <c r="K664" s="825"/>
      <c r="L664" s="825"/>
      <c r="M664" s="825"/>
      <c r="N664" s="825"/>
      <c r="O664" s="825"/>
    </row>
    <row r="665" spans="1:15" ht="16.5" customHeight="1" x14ac:dyDescent="0.3">
      <c r="A665" s="825"/>
      <c r="B665" s="825"/>
      <c r="C665" s="825"/>
      <c r="D665" s="825"/>
      <c r="E665" s="825"/>
      <c r="F665" s="825"/>
      <c r="G665" s="825"/>
      <c r="H665" s="825"/>
      <c r="I665" s="825"/>
      <c r="J665" s="825"/>
      <c r="K665" s="825"/>
      <c r="L665" s="825"/>
      <c r="M665" s="825"/>
      <c r="N665" s="825"/>
      <c r="O665" s="825"/>
    </row>
    <row r="666" spans="1:15" ht="16.5" customHeight="1" x14ac:dyDescent="0.3">
      <c r="A666" s="825"/>
      <c r="B666" s="825"/>
      <c r="C666" s="825"/>
      <c r="D666" s="825"/>
      <c r="E666" s="825"/>
      <c r="F666" s="825"/>
      <c r="G666" s="825"/>
      <c r="H666" s="825"/>
      <c r="I666" s="825"/>
      <c r="J666" s="825"/>
      <c r="K666" s="825"/>
      <c r="L666" s="825"/>
      <c r="M666" s="825"/>
      <c r="N666" s="825"/>
      <c r="O666" s="825"/>
    </row>
    <row r="667" spans="1:15" ht="16.5" customHeight="1" x14ac:dyDescent="0.3">
      <c r="A667" s="825"/>
      <c r="B667" s="825"/>
      <c r="C667" s="825"/>
      <c r="D667" s="825"/>
      <c r="E667" s="825"/>
      <c r="F667" s="825"/>
      <c r="G667" s="825"/>
      <c r="H667" s="825"/>
      <c r="I667" s="825"/>
      <c r="J667" s="825"/>
      <c r="K667" s="825"/>
      <c r="L667" s="825"/>
      <c r="M667" s="825"/>
      <c r="N667" s="825"/>
      <c r="O667" s="825"/>
    </row>
    <row r="668" spans="1:15" ht="16.5" customHeight="1" x14ac:dyDescent="0.3">
      <c r="A668" s="825"/>
      <c r="B668" s="825"/>
      <c r="C668" s="825"/>
      <c r="D668" s="825"/>
      <c r="E668" s="825"/>
      <c r="F668" s="825"/>
      <c r="G668" s="825"/>
      <c r="H668" s="825"/>
      <c r="I668" s="825"/>
      <c r="J668" s="825"/>
      <c r="K668" s="825"/>
      <c r="L668" s="825"/>
      <c r="M668" s="825"/>
      <c r="N668" s="825"/>
      <c r="O668" s="825"/>
    </row>
    <row r="669" spans="1:15" ht="16.5" customHeight="1" x14ac:dyDescent="0.3">
      <c r="A669" s="825"/>
      <c r="B669" s="825"/>
      <c r="C669" s="825"/>
      <c r="D669" s="825"/>
      <c r="E669" s="825"/>
      <c r="F669" s="825"/>
      <c r="G669" s="825"/>
      <c r="H669" s="825"/>
      <c r="I669" s="825"/>
      <c r="J669" s="825"/>
      <c r="K669" s="825"/>
      <c r="L669" s="825"/>
      <c r="M669" s="825"/>
      <c r="N669" s="825"/>
      <c r="O669" s="825"/>
    </row>
    <row r="670" spans="1:15" ht="16.5" customHeight="1" x14ac:dyDescent="0.3">
      <c r="A670" s="825"/>
      <c r="B670" s="825"/>
      <c r="C670" s="825"/>
      <c r="D670" s="825"/>
      <c r="E670" s="825"/>
      <c r="F670" s="825"/>
      <c r="G670" s="825"/>
      <c r="H670" s="825"/>
      <c r="I670" s="825"/>
      <c r="J670" s="825"/>
      <c r="K670" s="825"/>
      <c r="L670" s="825"/>
      <c r="M670" s="825"/>
      <c r="N670" s="825"/>
      <c r="O670" s="825"/>
    </row>
    <row r="671" spans="1:15" ht="16.5" customHeight="1" x14ac:dyDescent="0.3">
      <c r="A671" s="825"/>
      <c r="B671" s="825"/>
      <c r="C671" s="825"/>
      <c r="D671" s="825"/>
      <c r="E671" s="825"/>
      <c r="F671" s="825"/>
      <c r="G671" s="825"/>
      <c r="H671" s="825"/>
      <c r="I671" s="825"/>
      <c r="J671" s="825"/>
      <c r="K671" s="825"/>
      <c r="L671" s="825"/>
      <c r="M671" s="825"/>
      <c r="N671" s="825"/>
      <c r="O671" s="825"/>
    </row>
    <row r="672" spans="1:15" ht="16.5" customHeight="1" x14ac:dyDescent="0.3">
      <c r="A672" s="825"/>
      <c r="B672" s="825"/>
      <c r="C672" s="825"/>
      <c r="D672" s="825"/>
      <c r="E672" s="825"/>
      <c r="F672" s="825"/>
      <c r="G672" s="825"/>
      <c r="H672" s="825"/>
      <c r="I672" s="825"/>
      <c r="J672" s="825"/>
      <c r="K672" s="825"/>
      <c r="L672" s="825"/>
      <c r="M672" s="825"/>
      <c r="N672" s="825"/>
      <c r="O672" s="825"/>
    </row>
    <row r="673" spans="1:15" ht="16.5" customHeight="1" x14ac:dyDescent="0.3">
      <c r="A673" s="825"/>
      <c r="B673" s="825"/>
      <c r="C673" s="825"/>
      <c r="D673" s="825"/>
      <c r="E673" s="825"/>
      <c r="F673" s="825"/>
      <c r="G673" s="825"/>
      <c r="H673" s="825"/>
      <c r="I673" s="825"/>
      <c r="J673" s="825"/>
      <c r="K673" s="825"/>
      <c r="L673" s="825"/>
      <c r="M673" s="825"/>
      <c r="N673" s="825"/>
      <c r="O673" s="825"/>
    </row>
    <row r="674" spans="1:15" ht="16.5" customHeight="1" x14ac:dyDescent="0.3">
      <c r="A674" s="825"/>
      <c r="B674" s="825"/>
      <c r="C674" s="825"/>
      <c r="D674" s="825"/>
      <c r="E674" s="825"/>
      <c r="F674" s="825"/>
      <c r="G674" s="825"/>
      <c r="H674" s="825"/>
      <c r="I674" s="825"/>
      <c r="J674" s="825"/>
      <c r="K674" s="825"/>
      <c r="L674" s="825"/>
      <c r="M674" s="825"/>
      <c r="N674" s="825"/>
      <c r="O674" s="825"/>
    </row>
    <row r="675" spans="1:15" ht="16.5" customHeight="1" x14ac:dyDescent="0.3">
      <c r="A675" s="825"/>
      <c r="B675" s="825"/>
      <c r="C675" s="825"/>
      <c r="D675" s="825"/>
      <c r="E675" s="825"/>
      <c r="F675" s="825"/>
      <c r="G675" s="825"/>
      <c r="H675" s="825"/>
      <c r="I675" s="825"/>
      <c r="J675" s="825"/>
      <c r="K675" s="825"/>
      <c r="L675" s="825"/>
      <c r="M675" s="825"/>
      <c r="N675" s="825"/>
      <c r="O675" s="825"/>
    </row>
    <row r="676" spans="1:15" ht="16.5" customHeight="1" x14ac:dyDescent="0.3">
      <c r="A676" s="825"/>
      <c r="B676" s="825"/>
      <c r="C676" s="825"/>
      <c r="D676" s="825"/>
      <c r="E676" s="825"/>
      <c r="F676" s="825"/>
      <c r="G676" s="825"/>
      <c r="H676" s="825"/>
      <c r="I676" s="825"/>
      <c r="J676" s="825"/>
      <c r="K676" s="825"/>
      <c r="L676" s="825"/>
      <c r="M676" s="825"/>
      <c r="N676" s="825"/>
      <c r="O676" s="825"/>
    </row>
    <row r="677" spans="1:15" ht="16.5" customHeight="1" x14ac:dyDescent="0.3">
      <c r="A677" s="825"/>
      <c r="B677" s="825"/>
      <c r="C677" s="825"/>
      <c r="D677" s="825"/>
      <c r="E677" s="825"/>
      <c r="F677" s="825"/>
      <c r="G677" s="825"/>
      <c r="H677" s="825"/>
      <c r="I677" s="825"/>
      <c r="J677" s="825"/>
      <c r="K677" s="825"/>
      <c r="L677" s="825"/>
      <c r="M677" s="825"/>
      <c r="N677" s="825"/>
      <c r="O677" s="825"/>
    </row>
    <row r="678" spans="1:15" ht="16.5" customHeight="1" x14ac:dyDescent="0.3">
      <c r="A678" s="825"/>
      <c r="B678" s="825"/>
      <c r="C678" s="825"/>
      <c r="D678" s="825"/>
      <c r="E678" s="825"/>
      <c r="F678" s="825"/>
      <c r="G678" s="825"/>
      <c r="H678" s="825"/>
      <c r="I678" s="825"/>
      <c r="J678" s="825"/>
      <c r="K678" s="825"/>
      <c r="L678" s="825"/>
      <c r="M678" s="825"/>
      <c r="N678" s="825"/>
      <c r="O678" s="825"/>
    </row>
    <row r="679" spans="1:15" ht="16.5" customHeight="1" x14ac:dyDescent="0.3">
      <c r="A679" s="825"/>
      <c r="B679" s="825"/>
      <c r="C679" s="825"/>
      <c r="D679" s="825"/>
      <c r="E679" s="825"/>
      <c r="F679" s="825"/>
      <c r="G679" s="825"/>
      <c r="H679" s="825"/>
      <c r="I679" s="825"/>
      <c r="J679" s="825"/>
      <c r="K679" s="825"/>
      <c r="L679" s="825"/>
      <c r="M679" s="825"/>
      <c r="N679" s="825"/>
      <c r="O679" s="825"/>
    </row>
    <row r="680" spans="1:15" ht="16.5" customHeight="1" x14ac:dyDescent="0.3">
      <c r="A680" s="825"/>
      <c r="B680" s="825"/>
      <c r="C680" s="825"/>
      <c r="D680" s="825"/>
      <c r="E680" s="825"/>
      <c r="F680" s="825"/>
      <c r="G680" s="825"/>
      <c r="H680" s="825"/>
      <c r="I680" s="825"/>
      <c r="J680" s="825"/>
      <c r="K680" s="825"/>
      <c r="L680" s="825"/>
      <c r="M680" s="825"/>
      <c r="N680" s="825"/>
      <c r="O680" s="825"/>
    </row>
    <row r="681" spans="1:15" ht="16.5" customHeight="1" x14ac:dyDescent="0.3">
      <c r="A681" s="825"/>
      <c r="B681" s="825"/>
      <c r="C681" s="825"/>
      <c r="D681" s="825"/>
      <c r="E681" s="825"/>
      <c r="F681" s="825"/>
      <c r="G681" s="825"/>
      <c r="H681" s="825"/>
      <c r="I681" s="825"/>
      <c r="J681" s="825"/>
      <c r="K681" s="825"/>
      <c r="L681" s="825"/>
      <c r="M681" s="825"/>
      <c r="N681" s="825"/>
      <c r="O681" s="825"/>
    </row>
    <row r="682" spans="1:15" ht="16.5" customHeight="1" x14ac:dyDescent="0.3">
      <c r="A682" s="825"/>
      <c r="B682" s="825"/>
      <c r="C682" s="825"/>
      <c r="D682" s="825"/>
      <c r="E682" s="825"/>
      <c r="F682" s="825"/>
      <c r="G682" s="825"/>
      <c r="H682" s="825"/>
      <c r="I682" s="825"/>
      <c r="J682" s="825"/>
      <c r="K682" s="825"/>
      <c r="L682" s="825"/>
      <c r="M682" s="825"/>
      <c r="N682" s="825"/>
      <c r="O682" s="825"/>
    </row>
    <row r="683" spans="1:15" ht="16.5" customHeight="1" x14ac:dyDescent="0.3">
      <c r="A683" s="825"/>
      <c r="B683" s="825"/>
      <c r="C683" s="825"/>
      <c r="D683" s="825"/>
      <c r="E683" s="825"/>
      <c r="F683" s="825"/>
      <c r="G683" s="825"/>
      <c r="H683" s="825"/>
      <c r="I683" s="825"/>
      <c r="J683" s="825"/>
      <c r="K683" s="825"/>
      <c r="L683" s="825"/>
      <c r="M683" s="825"/>
      <c r="N683" s="825"/>
      <c r="O683" s="825"/>
    </row>
    <row r="684" spans="1:15" ht="16.5" customHeight="1" x14ac:dyDescent="0.3">
      <c r="A684" s="825"/>
      <c r="B684" s="825"/>
      <c r="C684" s="825"/>
      <c r="D684" s="825"/>
      <c r="E684" s="825"/>
      <c r="F684" s="825"/>
      <c r="G684" s="825"/>
      <c r="H684" s="825"/>
      <c r="I684" s="825"/>
      <c r="J684" s="825"/>
      <c r="K684" s="825"/>
      <c r="L684" s="825"/>
      <c r="M684" s="825"/>
      <c r="N684" s="825"/>
      <c r="O684" s="825"/>
    </row>
    <row r="685" spans="1:15" ht="16.5" customHeight="1" x14ac:dyDescent="0.3">
      <c r="A685" s="825"/>
      <c r="B685" s="825"/>
      <c r="C685" s="825"/>
      <c r="D685" s="825"/>
      <c r="E685" s="825"/>
      <c r="F685" s="825"/>
      <c r="G685" s="825"/>
      <c r="H685" s="825"/>
      <c r="I685" s="825"/>
      <c r="J685" s="825"/>
      <c r="K685" s="825"/>
      <c r="L685" s="825"/>
      <c r="M685" s="825"/>
      <c r="N685" s="825"/>
      <c r="O685" s="825"/>
    </row>
    <row r="686" spans="1:15" ht="16.5" customHeight="1" x14ac:dyDescent="0.3">
      <c r="A686" s="825"/>
      <c r="B686" s="825"/>
      <c r="C686" s="825"/>
      <c r="D686" s="825"/>
      <c r="E686" s="825"/>
      <c r="F686" s="825"/>
      <c r="G686" s="825"/>
      <c r="H686" s="825"/>
      <c r="I686" s="825"/>
      <c r="J686" s="825"/>
      <c r="K686" s="825"/>
      <c r="L686" s="825"/>
      <c r="M686" s="825"/>
      <c r="N686" s="825"/>
      <c r="O686" s="825"/>
    </row>
    <row r="687" spans="1:15" ht="16.5" customHeight="1" x14ac:dyDescent="0.3">
      <c r="A687" s="825"/>
      <c r="B687" s="825"/>
      <c r="C687" s="825"/>
      <c r="D687" s="825"/>
      <c r="E687" s="825"/>
      <c r="F687" s="825"/>
      <c r="G687" s="825"/>
      <c r="H687" s="825"/>
      <c r="I687" s="825"/>
      <c r="J687" s="825"/>
      <c r="K687" s="825"/>
      <c r="L687" s="825"/>
      <c r="M687" s="825"/>
      <c r="N687" s="825"/>
      <c r="O687" s="825"/>
    </row>
    <row r="688" spans="1:15" ht="16.5" customHeight="1" x14ac:dyDescent="0.3">
      <c r="A688" s="825"/>
      <c r="B688" s="825"/>
      <c r="C688" s="825"/>
      <c r="D688" s="825"/>
      <c r="E688" s="825"/>
      <c r="F688" s="825"/>
      <c r="G688" s="825"/>
      <c r="H688" s="825"/>
      <c r="I688" s="825"/>
      <c r="J688" s="825"/>
      <c r="K688" s="825"/>
      <c r="L688" s="825"/>
      <c r="M688" s="825"/>
      <c r="N688" s="825"/>
      <c r="O688" s="825"/>
    </row>
    <row r="689" spans="1:15" ht="16.5" customHeight="1" x14ac:dyDescent="0.3">
      <c r="A689" s="825"/>
      <c r="B689" s="825"/>
      <c r="C689" s="825"/>
      <c r="D689" s="825"/>
      <c r="E689" s="825"/>
      <c r="F689" s="825"/>
      <c r="G689" s="825"/>
      <c r="H689" s="825"/>
      <c r="I689" s="825"/>
      <c r="J689" s="825"/>
      <c r="K689" s="825"/>
      <c r="L689" s="825"/>
      <c r="M689" s="825"/>
      <c r="N689" s="825"/>
      <c r="O689" s="825"/>
    </row>
    <row r="690" spans="1:15" ht="16.5" customHeight="1" x14ac:dyDescent="0.3">
      <c r="A690" s="825"/>
      <c r="B690" s="825"/>
      <c r="C690" s="825"/>
      <c r="D690" s="825"/>
      <c r="E690" s="825"/>
      <c r="F690" s="825"/>
      <c r="G690" s="825"/>
      <c r="H690" s="825"/>
      <c r="I690" s="825"/>
      <c r="J690" s="825"/>
      <c r="K690" s="825"/>
      <c r="L690" s="825"/>
      <c r="M690" s="825"/>
      <c r="N690" s="825"/>
      <c r="O690" s="825"/>
    </row>
    <row r="691" spans="1:15" ht="16.5" customHeight="1" x14ac:dyDescent="0.3">
      <c r="A691" s="825"/>
      <c r="B691" s="825"/>
      <c r="C691" s="825"/>
      <c r="D691" s="825"/>
      <c r="E691" s="825"/>
      <c r="F691" s="825"/>
      <c r="G691" s="825"/>
      <c r="H691" s="825"/>
      <c r="I691" s="825"/>
      <c r="J691" s="825"/>
      <c r="K691" s="825"/>
      <c r="L691" s="825"/>
      <c r="M691" s="825"/>
      <c r="N691" s="825"/>
      <c r="O691" s="825"/>
    </row>
    <row r="692" spans="1:15" ht="16.5" customHeight="1" x14ac:dyDescent="0.3">
      <c r="A692" s="825"/>
      <c r="B692" s="825"/>
      <c r="C692" s="825"/>
      <c r="D692" s="825"/>
      <c r="E692" s="825"/>
      <c r="F692" s="825"/>
      <c r="G692" s="825"/>
      <c r="H692" s="825"/>
      <c r="I692" s="825"/>
      <c r="J692" s="825"/>
      <c r="K692" s="825"/>
      <c r="L692" s="825"/>
      <c r="M692" s="825"/>
      <c r="N692" s="825"/>
      <c r="O692" s="825"/>
    </row>
    <row r="693" spans="1:15" ht="16.5" customHeight="1" x14ac:dyDescent="0.3">
      <c r="A693" s="825"/>
      <c r="B693" s="825"/>
      <c r="C693" s="825"/>
      <c r="D693" s="825"/>
      <c r="E693" s="825"/>
      <c r="F693" s="825"/>
      <c r="G693" s="825"/>
      <c r="H693" s="825"/>
      <c r="I693" s="825"/>
      <c r="J693" s="825"/>
      <c r="K693" s="825"/>
      <c r="L693" s="825"/>
      <c r="M693" s="825"/>
      <c r="N693" s="825"/>
      <c r="O693" s="825"/>
    </row>
    <row r="694" spans="1:15" ht="16.5" customHeight="1" x14ac:dyDescent="0.3">
      <c r="A694" s="825"/>
      <c r="B694" s="825"/>
      <c r="C694" s="825"/>
      <c r="D694" s="825"/>
      <c r="E694" s="825"/>
      <c r="F694" s="825"/>
      <c r="G694" s="825"/>
      <c r="H694" s="825"/>
      <c r="I694" s="825"/>
      <c r="J694" s="825"/>
      <c r="K694" s="825"/>
      <c r="L694" s="825"/>
      <c r="M694" s="825"/>
      <c r="N694" s="825"/>
      <c r="O694" s="825"/>
    </row>
    <row r="695" spans="1:15" ht="16.5" customHeight="1" x14ac:dyDescent="0.3">
      <c r="A695" s="825"/>
      <c r="B695" s="825"/>
      <c r="C695" s="825"/>
      <c r="D695" s="825"/>
      <c r="E695" s="825"/>
      <c r="F695" s="825"/>
      <c r="G695" s="825"/>
      <c r="H695" s="825"/>
      <c r="I695" s="825"/>
      <c r="J695" s="825"/>
      <c r="K695" s="825"/>
      <c r="L695" s="825"/>
      <c r="M695" s="825"/>
      <c r="N695" s="825"/>
      <c r="O695" s="825"/>
    </row>
    <row r="696" spans="1:15" ht="16.5" customHeight="1" x14ac:dyDescent="0.3">
      <c r="A696" s="825"/>
      <c r="B696" s="825"/>
      <c r="C696" s="825"/>
      <c r="D696" s="825"/>
      <c r="E696" s="825"/>
      <c r="F696" s="825"/>
      <c r="G696" s="825"/>
      <c r="H696" s="825"/>
      <c r="I696" s="825"/>
      <c r="J696" s="825"/>
      <c r="K696" s="825"/>
      <c r="L696" s="825"/>
      <c r="M696" s="825"/>
      <c r="N696" s="825"/>
      <c r="O696" s="825"/>
    </row>
    <row r="697" spans="1:15" ht="16.5" customHeight="1" x14ac:dyDescent="0.3">
      <c r="A697" s="825"/>
      <c r="B697" s="825"/>
      <c r="C697" s="825"/>
      <c r="D697" s="825"/>
      <c r="E697" s="825"/>
      <c r="F697" s="825"/>
      <c r="G697" s="825"/>
      <c r="H697" s="825"/>
      <c r="I697" s="825"/>
      <c r="J697" s="825"/>
      <c r="K697" s="825"/>
      <c r="L697" s="825"/>
      <c r="M697" s="825"/>
      <c r="N697" s="825"/>
      <c r="O697" s="825"/>
    </row>
    <row r="698" spans="1:15" ht="16.5" customHeight="1" x14ac:dyDescent="0.3">
      <c r="A698" s="825"/>
      <c r="B698" s="825"/>
      <c r="C698" s="825"/>
      <c r="D698" s="825"/>
      <c r="E698" s="825"/>
      <c r="F698" s="825"/>
      <c r="G698" s="825"/>
      <c r="H698" s="825"/>
      <c r="I698" s="825"/>
      <c r="J698" s="825"/>
      <c r="K698" s="825"/>
      <c r="L698" s="825"/>
      <c r="M698" s="825"/>
      <c r="N698" s="825"/>
      <c r="O698" s="825"/>
    </row>
    <row r="699" spans="1:15" ht="16.5" customHeight="1" x14ac:dyDescent="0.3">
      <c r="A699" s="825"/>
      <c r="B699" s="825"/>
      <c r="C699" s="825"/>
      <c r="D699" s="825"/>
      <c r="E699" s="825"/>
      <c r="F699" s="825"/>
      <c r="G699" s="825"/>
      <c r="H699" s="825"/>
      <c r="I699" s="825"/>
      <c r="J699" s="825"/>
      <c r="K699" s="825"/>
      <c r="L699" s="825"/>
      <c r="M699" s="825"/>
      <c r="N699" s="825"/>
      <c r="O699" s="825"/>
    </row>
    <row r="700" spans="1:15" ht="16.5" customHeight="1" x14ac:dyDescent="0.3">
      <c r="A700" s="825"/>
      <c r="B700" s="825"/>
      <c r="C700" s="825"/>
      <c r="D700" s="825"/>
      <c r="E700" s="825"/>
      <c r="F700" s="825"/>
      <c r="G700" s="825"/>
      <c r="H700" s="825"/>
      <c r="I700" s="825"/>
      <c r="J700" s="825"/>
      <c r="K700" s="825"/>
      <c r="L700" s="825"/>
      <c r="M700" s="825"/>
      <c r="N700" s="825"/>
      <c r="O700" s="825"/>
    </row>
    <row r="701" spans="1:15" ht="16.5" customHeight="1" x14ac:dyDescent="0.3">
      <c r="A701" s="825"/>
      <c r="B701" s="825"/>
      <c r="C701" s="825"/>
      <c r="D701" s="825"/>
      <c r="E701" s="825"/>
      <c r="F701" s="825"/>
      <c r="G701" s="825"/>
      <c r="H701" s="825"/>
      <c r="I701" s="825"/>
      <c r="J701" s="825"/>
      <c r="K701" s="825"/>
      <c r="L701" s="825"/>
      <c r="M701" s="825"/>
      <c r="N701" s="825"/>
      <c r="O701" s="825"/>
    </row>
    <row r="702" spans="1:15" ht="16.5" customHeight="1" x14ac:dyDescent="0.3">
      <c r="A702" s="825"/>
      <c r="B702" s="825"/>
      <c r="C702" s="825"/>
      <c r="D702" s="825"/>
      <c r="E702" s="825"/>
      <c r="F702" s="825"/>
      <c r="G702" s="825"/>
      <c r="H702" s="825"/>
      <c r="I702" s="825"/>
      <c r="J702" s="825"/>
      <c r="K702" s="825"/>
      <c r="L702" s="825"/>
      <c r="M702" s="825"/>
      <c r="N702" s="825"/>
      <c r="O702" s="825"/>
    </row>
    <row r="703" spans="1:15" ht="16.5" customHeight="1" x14ac:dyDescent="0.3">
      <c r="A703" s="825"/>
      <c r="B703" s="825"/>
      <c r="C703" s="825"/>
      <c r="D703" s="825"/>
      <c r="E703" s="825"/>
      <c r="F703" s="825"/>
      <c r="G703" s="825"/>
      <c r="H703" s="825"/>
      <c r="I703" s="825"/>
      <c r="J703" s="825"/>
      <c r="K703" s="825"/>
      <c r="L703" s="825"/>
      <c r="M703" s="825"/>
      <c r="N703" s="825"/>
      <c r="O703" s="825"/>
    </row>
    <row r="704" spans="1:15" ht="16.5" customHeight="1" x14ac:dyDescent="0.3">
      <c r="A704" s="825"/>
      <c r="B704" s="825"/>
      <c r="C704" s="825"/>
      <c r="D704" s="825"/>
      <c r="E704" s="825"/>
      <c r="F704" s="825"/>
      <c r="G704" s="825"/>
      <c r="H704" s="825"/>
      <c r="I704" s="825"/>
      <c r="J704" s="825"/>
      <c r="K704" s="825"/>
      <c r="L704" s="825"/>
      <c r="M704" s="825"/>
      <c r="N704" s="825"/>
      <c r="O704" s="825"/>
    </row>
    <row r="705" spans="1:15" ht="16.5" customHeight="1" x14ac:dyDescent="0.3">
      <c r="A705" s="825"/>
      <c r="B705" s="825"/>
      <c r="C705" s="825"/>
      <c r="D705" s="825"/>
      <c r="E705" s="825"/>
      <c r="F705" s="825"/>
      <c r="G705" s="825"/>
      <c r="H705" s="825"/>
      <c r="I705" s="825"/>
      <c r="J705" s="825"/>
      <c r="K705" s="825"/>
      <c r="L705" s="825"/>
      <c r="M705" s="825"/>
      <c r="N705" s="825"/>
      <c r="O705" s="825"/>
    </row>
    <row r="706" spans="1:15" ht="16.5" customHeight="1" x14ac:dyDescent="0.3">
      <c r="A706" s="825"/>
      <c r="B706" s="825"/>
      <c r="C706" s="825"/>
      <c r="D706" s="825"/>
      <c r="E706" s="825"/>
      <c r="F706" s="825"/>
      <c r="G706" s="825"/>
      <c r="H706" s="825"/>
      <c r="I706" s="825"/>
      <c r="J706" s="825"/>
      <c r="K706" s="825"/>
      <c r="L706" s="825"/>
      <c r="M706" s="825"/>
      <c r="N706" s="825"/>
      <c r="O706" s="825"/>
    </row>
    <row r="707" spans="1:15" ht="16.5" customHeight="1" x14ac:dyDescent="0.3">
      <c r="A707" s="825"/>
      <c r="B707" s="825"/>
      <c r="C707" s="825"/>
      <c r="D707" s="825"/>
      <c r="E707" s="825"/>
      <c r="F707" s="825"/>
      <c r="G707" s="825"/>
      <c r="H707" s="825"/>
      <c r="I707" s="825"/>
      <c r="J707" s="825"/>
      <c r="K707" s="825"/>
      <c r="L707" s="825"/>
      <c r="M707" s="825"/>
      <c r="N707" s="825"/>
      <c r="O707" s="825"/>
    </row>
    <row r="708" spans="1:15" ht="16.5" customHeight="1" x14ac:dyDescent="0.3">
      <c r="A708" s="825"/>
      <c r="B708" s="825"/>
      <c r="C708" s="825"/>
      <c r="D708" s="825"/>
      <c r="E708" s="825"/>
      <c r="F708" s="825"/>
      <c r="G708" s="825"/>
      <c r="H708" s="825"/>
      <c r="I708" s="825"/>
      <c r="J708" s="825"/>
      <c r="K708" s="825"/>
      <c r="L708" s="825"/>
      <c r="M708" s="825"/>
      <c r="N708" s="825"/>
      <c r="O708" s="825"/>
    </row>
    <row r="709" spans="1:15" ht="16.5" customHeight="1" x14ac:dyDescent="0.3">
      <c r="A709" s="825"/>
      <c r="B709" s="825"/>
      <c r="C709" s="825"/>
      <c r="D709" s="825"/>
      <c r="E709" s="825"/>
      <c r="F709" s="825"/>
      <c r="G709" s="825"/>
      <c r="H709" s="825"/>
      <c r="I709" s="825"/>
      <c r="J709" s="825"/>
      <c r="K709" s="825"/>
      <c r="L709" s="825"/>
      <c r="M709" s="825"/>
      <c r="N709" s="825"/>
      <c r="O709" s="825"/>
    </row>
    <row r="710" spans="1:15" ht="16.5" customHeight="1" x14ac:dyDescent="0.3">
      <c r="A710" s="825"/>
      <c r="B710" s="825"/>
      <c r="C710" s="825"/>
      <c r="D710" s="825"/>
      <c r="E710" s="825"/>
      <c r="F710" s="825"/>
      <c r="G710" s="825"/>
      <c r="H710" s="825"/>
      <c r="I710" s="825"/>
      <c r="J710" s="825"/>
      <c r="K710" s="825"/>
      <c r="L710" s="825"/>
      <c r="M710" s="825"/>
      <c r="N710" s="825"/>
      <c r="O710" s="825"/>
    </row>
    <row r="711" spans="1:15" ht="16.5" customHeight="1" x14ac:dyDescent="0.3">
      <c r="A711" s="825"/>
      <c r="B711" s="825"/>
      <c r="C711" s="825"/>
      <c r="D711" s="825"/>
      <c r="E711" s="825"/>
      <c r="F711" s="825"/>
      <c r="G711" s="825"/>
      <c r="H711" s="825"/>
      <c r="I711" s="825"/>
      <c r="J711" s="825"/>
      <c r="K711" s="825"/>
      <c r="L711" s="825"/>
      <c r="M711" s="825"/>
      <c r="N711" s="825"/>
      <c r="O711" s="825"/>
    </row>
    <row r="712" spans="1:15" ht="16.5" customHeight="1" x14ac:dyDescent="0.3">
      <c r="A712" s="825"/>
      <c r="B712" s="825"/>
      <c r="C712" s="825"/>
      <c r="D712" s="825"/>
      <c r="E712" s="825"/>
      <c r="F712" s="825"/>
      <c r="G712" s="825"/>
      <c r="H712" s="825"/>
      <c r="I712" s="825"/>
      <c r="J712" s="825"/>
      <c r="K712" s="825"/>
      <c r="L712" s="825"/>
      <c r="M712" s="825"/>
      <c r="N712" s="825"/>
      <c r="O712" s="825"/>
    </row>
    <row r="713" spans="1:15" ht="16.5" customHeight="1" x14ac:dyDescent="0.3">
      <c r="A713" s="825"/>
      <c r="B713" s="825"/>
      <c r="C713" s="825"/>
      <c r="D713" s="825"/>
      <c r="E713" s="825"/>
      <c r="F713" s="825"/>
      <c r="G713" s="825"/>
      <c r="H713" s="825"/>
      <c r="I713" s="825"/>
      <c r="J713" s="825"/>
      <c r="K713" s="825"/>
      <c r="L713" s="825"/>
      <c r="M713" s="825"/>
      <c r="N713" s="825"/>
      <c r="O713" s="825"/>
    </row>
    <row r="714" spans="1:15" ht="16.5" customHeight="1" x14ac:dyDescent="0.3">
      <c r="A714" s="825"/>
      <c r="B714" s="825"/>
      <c r="C714" s="825"/>
      <c r="D714" s="825"/>
      <c r="E714" s="825"/>
      <c r="F714" s="825"/>
      <c r="G714" s="825"/>
      <c r="H714" s="825"/>
      <c r="I714" s="825"/>
      <c r="J714" s="825"/>
      <c r="K714" s="825"/>
      <c r="L714" s="825"/>
      <c r="M714" s="825"/>
      <c r="N714" s="825"/>
      <c r="O714" s="825"/>
    </row>
    <row r="715" spans="1:15" ht="16.5" customHeight="1" x14ac:dyDescent="0.3">
      <c r="A715" s="825"/>
      <c r="B715" s="825"/>
      <c r="C715" s="825"/>
      <c r="D715" s="825"/>
      <c r="E715" s="825"/>
      <c r="F715" s="825"/>
      <c r="G715" s="825"/>
      <c r="H715" s="825"/>
      <c r="I715" s="825"/>
      <c r="J715" s="825"/>
      <c r="K715" s="825"/>
      <c r="L715" s="825"/>
      <c r="M715" s="825"/>
      <c r="N715" s="825"/>
      <c r="O715" s="825"/>
    </row>
    <row r="716" spans="1:15" ht="16.5" customHeight="1" x14ac:dyDescent="0.3">
      <c r="A716" s="825"/>
      <c r="B716" s="825"/>
      <c r="C716" s="825"/>
      <c r="D716" s="825"/>
      <c r="E716" s="825"/>
      <c r="F716" s="825"/>
      <c r="G716" s="825"/>
      <c r="H716" s="825"/>
      <c r="I716" s="825"/>
      <c r="J716" s="825"/>
      <c r="K716" s="825"/>
      <c r="L716" s="825"/>
      <c r="M716" s="825"/>
      <c r="N716" s="825"/>
      <c r="O716" s="825"/>
    </row>
    <row r="717" spans="1:15" ht="16.5" customHeight="1" x14ac:dyDescent="0.3">
      <c r="A717" s="825"/>
      <c r="B717" s="825"/>
      <c r="C717" s="825"/>
      <c r="D717" s="825"/>
      <c r="E717" s="825"/>
      <c r="F717" s="825"/>
      <c r="G717" s="825"/>
      <c r="H717" s="825"/>
      <c r="I717" s="825"/>
      <c r="J717" s="825"/>
      <c r="K717" s="825"/>
      <c r="L717" s="825"/>
      <c r="M717" s="825"/>
      <c r="N717" s="825"/>
      <c r="O717" s="825"/>
    </row>
    <row r="718" spans="1:15" ht="16.5" customHeight="1" x14ac:dyDescent="0.3">
      <c r="A718" s="825"/>
      <c r="B718" s="825"/>
      <c r="C718" s="825"/>
      <c r="D718" s="825"/>
      <c r="E718" s="825"/>
      <c r="F718" s="825"/>
      <c r="G718" s="825"/>
      <c r="H718" s="825"/>
      <c r="I718" s="825"/>
      <c r="J718" s="825"/>
      <c r="K718" s="825"/>
      <c r="L718" s="825"/>
      <c r="M718" s="825"/>
      <c r="N718" s="825"/>
      <c r="O718" s="825"/>
    </row>
    <row r="719" spans="1:15" ht="16.5" customHeight="1" x14ac:dyDescent="0.3">
      <c r="A719" s="825"/>
      <c r="B719" s="825"/>
      <c r="C719" s="825"/>
      <c r="D719" s="825"/>
      <c r="E719" s="825"/>
      <c r="F719" s="825"/>
      <c r="G719" s="825"/>
      <c r="H719" s="825"/>
      <c r="I719" s="825"/>
      <c r="J719" s="825"/>
      <c r="K719" s="825"/>
      <c r="L719" s="825"/>
      <c r="M719" s="825"/>
      <c r="N719" s="825"/>
      <c r="O719" s="825"/>
    </row>
    <row r="720" spans="1:15" ht="16.5" customHeight="1" x14ac:dyDescent="0.3">
      <c r="A720" s="825"/>
      <c r="B720" s="825"/>
      <c r="C720" s="825"/>
      <c r="D720" s="825"/>
      <c r="E720" s="825"/>
      <c r="F720" s="825"/>
      <c r="G720" s="825"/>
      <c r="H720" s="825"/>
      <c r="I720" s="825"/>
      <c r="J720" s="825"/>
      <c r="K720" s="825"/>
      <c r="L720" s="825"/>
      <c r="M720" s="825"/>
      <c r="N720" s="825"/>
      <c r="O720" s="825"/>
    </row>
    <row r="721" spans="1:15" ht="16.5" customHeight="1" x14ac:dyDescent="0.3">
      <c r="A721" s="825"/>
      <c r="B721" s="825"/>
      <c r="C721" s="825"/>
      <c r="D721" s="825"/>
      <c r="E721" s="825"/>
      <c r="F721" s="825"/>
      <c r="G721" s="825"/>
      <c r="H721" s="825"/>
      <c r="I721" s="825"/>
      <c r="J721" s="825"/>
      <c r="K721" s="825"/>
      <c r="L721" s="825"/>
      <c r="M721" s="825"/>
      <c r="N721" s="825"/>
      <c r="O721" s="825"/>
    </row>
    <row r="722" spans="1:15" ht="16.5" customHeight="1" x14ac:dyDescent="0.3">
      <c r="A722" s="825"/>
      <c r="B722" s="825"/>
      <c r="C722" s="825"/>
      <c r="D722" s="825"/>
      <c r="E722" s="825"/>
      <c r="F722" s="825"/>
      <c r="G722" s="825"/>
      <c r="H722" s="825"/>
      <c r="I722" s="825"/>
      <c r="J722" s="825"/>
      <c r="K722" s="825"/>
      <c r="L722" s="825"/>
      <c r="M722" s="825"/>
      <c r="N722" s="825"/>
      <c r="O722" s="825"/>
    </row>
    <row r="723" spans="1:15" ht="16.5" customHeight="1" x14ac:dyDescent="0.3">
      <c r="A723" s="825"/>
      <c r="B723" s="825"/>
      <c r="C723" s="825"/>
      <c r="D723" s="825"/>
      <c r="E723" s="825"/>
      <c r="F723" s="825"/>
      <c r="G723" s="825"/>
      <c r="H723" s="825"/>
      <c r="I723" s="825"/>
      <c r="J723" s="825"/>
      <c r="K723" s="825"/>
      <c r="L723" s="825"/>
      <c r="M723" s="825"/>
      <c r="N723" s="825"/>
      <c r="O723" s="825"/>
    </row>
    <row r="724" spans="1:15" ht="16.5" customHeight="1" x14ac:dyDescent="0.3">
      <c r="A724" s="825"/>
      <c r="B724" s="825"/>
      <c r="C724" s="825"/>
      <c r="D724" s="825"/>
      <c r="E724" s="825"/>
      <c r="F724" s="825"/>
      <c r="G724" s="825"/>
      <c r="H724" s="825"/>
      <c r="I724" s="825"/>
      <c r="J724" s="825"/>
      <c r="K724" s="825"/>
      <c r="L724" s="825"/>
      <c r="M724" s="825"/>
      <c r="N724" s="825"/>
      <c r="O724" s="825"/>
    </row>
    <row r="725" spans="1:15" ht="16.5" customHeight="1" x14ac:dyDescent="0.3">
      <c r="A725" s="825"/>
      <c r="B725" s="825"/>
      <c r="C725" s="825"/>
      <c r="D725" s="825"/>
      <c r="E725" s="825"/>
      <c r="F725" s="825"/>
      <c r="G725" s="825"/>
      <c r="H725" s="825"/>
      <c r="I725" s="825"/>
      <c r="J725" s="825"/>
      <c r="K725" s="825"/>
      <c r="L725" s="825"/>
      <c r="M725" s="825"/>
      <c r="N725" s="825"/>
      <c r="O725" s="825"/>
    </row>
    <row r="726" spans="1:15" ht="16.5" customHeight="1" x14ac:dyDescent="0.3">
      <c r="A726" s="825"/>
      <c r="B726" s="825"/>
      <c r="C726" s="825"/>
      <c r="D726" s="825"/>
      <c r="E726" s="825"/>
      <c r="F726" s="825"/>
      <c r="G726" s="825"/>
      <c r="H726" s="825"/>
      <c r="I726" s="825"/>
      <c r="J726" s="825"/>
      <c r="K726" s="825"/>
      <c r="L726" s="825"/>
      <c r="M726" s="825"/>
      <c r="N726" s="825"/>
      <c r="O726" s="825"/>
    </row>
    <row r="727" spans="1:15" ht="16.5" customHeight="1" x14ac:dyDescent="0.3">
      <c r="A727" s="825"/>
      <c r="B727" s="825"/>
      <c r="C727" s="825"/>
      <c r="D727" s="825"/>
      <c r="E727" s="825"/>
      <c r="F727" s="825"/>
      <c r="G727" s="825"/>
      <c r="H727" s="825"/>
      <c r="I727" s="825"/>
      <c r="J727" s="825"/>
      <c r="K727" s="825"/>
      <c r="L727" s="825"/>
      <c r="M727" s="825"/>
      <c r="N727" s="825"/>
      <c r="O727" s="825"/>
    </row>
    <row r="728" spans="1:15" ht="16.5" customHeight="1" x14ac:dyDescent="0.3">
      <c r="A728" s="825"/>
      <c r="B728" s="825"/>
      <c r="C728" s="825"/>
      <c r="D728" s="825"/>
      <c r="E728" s="825"/>
      <c r="F728" s="825"/>
      <c r="G728" s="825"/>
      <c r="H728" s="825"/>
      <c r="I728" s="825"/>
      <c r="J728" s="825"/>
      <c r="K728" s="825"/>
      <c r="L728" s="825"/>
      <c r="M728" s="825"/>
      <c r="N728" s="825"/>
      <c r="O728" s="825"/>
    </row>
    <row r="729" spans="1:15" ht="16.5" customHeight="1" x14ac:dyDescent="0.3">
      <c r="A729" s="825"/>
      <c r="B729" s="825"/>
      <c r="C729" s="825"/>
      <c r="D729" s="825"/>
      <c r="E729" s="825"/>
      <c r="F729" s="825"/>
      <c r="G729" s="825"/>
      <c r="H729" s="825"/>
      <c r="I729" s="825"/>
      <c r="J729" s="825"/>
      <c r="K729" s="825"/>
      <c r="L729" s="825"/>
      <c r="M729" s="825"/>
      <c r="N729" s="825"/>
      <c r="O729" s="825"/>
    </row>
    <row r="730" spans="1:15" ht="16.5" customHeight="1" x14ac:dyDescent="0.3">
      <c r="A730" s="825"/>
      <c r="B730" s="825"/>
      <c r="C730" s="825"/>
      <c r="D730" s="825"/>
      <c r="E730" s="825"/>
      <c r="F730" s="825"/>
      <c r="G730" s="825"/>
      <c r="H730" s="825"/>
      <c r="I730" s="825"/>
      <c r="J730" s="825"/>
      <c r="K730" s="825"/>
      <c r="L730" s="825"/>
      <c r="M730" s="825"/>
      <c r="N730" s="825"/>
      <c r="O730" s="825"/>
    </row>
    <row r="731" spans="1:15" ht="16.5" customHeight="1" x14ac:dyDescent="0.3">
      <c r="A731" s="825"/>
      <c r="B731" s="825"/>
      <c r="C731" s="825"/>
      <c r="D731" s="825"/>
      <c r="E731" s="825"/>
      <c r="F731" s="825"/>
      <c r="G731" s="825"/>
      <c r="H731" s="825"/>
      <c r="I731" s="825"/>
      <c r="J731" s="825"/>
      <c r="K731" s="825"/>
      <c r="L731" s="825"/>
      <c r="M731" s="825"/>
      <c r="N731" s="825"/>
      <c r="O731" s="825"/>
    </row>
    <row r="732" spans="1:15" ht="16.5" customHeight="1" x14ac:dyDescent="0.3">
      <c r="A732" s="825"/>
      <c r="B732" s="825"/>
      <c r="C732" s="825"/>
      <c r="D732" s="825"/>
      <c r="E732" s="825"/>
      <c r="F732" s="825"/>
      <c r="G732" s="825"/>
      <c r="H732" s="825"/>
      <c r="I732" s="825"/>
      <c r="J732" s="825"/>
      <c r="K732" s="825"/>
      <c r="L732" s="825"/>
      <c r="M732" s="825"/>
      <c r="N732" s="825"/>
      <c r="O732" s="825"/>
    </row>
    <row r="733" spans="1:15" ht="16.5" customHeight="1" x14ac:dyDescent="0.3">
      <c r="A733" s="825"/>
      <c r="B733" s="825"/>
      <c r="C733" s="825"/>
      <c r="D733" s="825"/>
      <c r="E733" s="825"/>
      <c r="F733" s="825"/>
      <c r="G733" s="825"/>
      <c r="H733" s="825"/>
      <c r="I733" s="825"/>
      <c r="J733" s="825"/>
      <c r="K733" s="825"/>
      <c r="L733" s="825"/>
      <c r="M733" s="825"/>
      <c r="N733" s="825"/>
      <c r="O733" s="825"/>
    </row>
    <row r="734" spans="1:15" ht="16.5" customHeight="1" x14ac:dyDescent="0.3">
      <c r="A734" s="825"/>
      <c r="B734" s="825"/>
      <c r="C734" s="825"/>
      <c r="D734" s="825"/>
      <c r="E734" s="825"/>
      <c r="F734" s="825"/>
      <c r="G734" s="825"/>
      <c r="H734" s="825"/>
      <c r="I734" s="825"/>
      <c r="J734" s="825"/>
      <c r="K734" s="825"/>
      <c r="L734" s="825"/>
      <c r="M734" s="825"/>
      <c r="N734" s="825"/>
      <c r="O734" s="825"/>
    </row>
    <row r="735" spans="1:15" ht="16.5" customHeight="1" x14ac:dyDescent="0.3">
      <c r="A735" s="825"/>
      <c r="B735" s="825"/>
      <c r="C735" s="825"/>
      <c r="D735" s="825"/>
      <c r="E735" s="825"/>
      <c r="F735" s="825"/>
      <c r="G735" s="825"/>
      <c r="H735" s="825"/>
      <c r="I735" s="825"/>
      <c r="J735" s="825"/>
      <c r="K735" s="825"/>
      <c r="L735" s="825"/>
      <c r="M735" s="825"/>
      <c r="N735" s="825"/>
      <c r="O735" s="825"/>
    </row>
    <row r="736" spans="1:15" ht="16.5" customHeight="1" x14ac:dyDescent="0.3">
      <c r="A736" s="825"/>
      <c r="B736" s="825"/>
      <c r="C736" s="825"/>
      <c r="D736" s="825"/>
      <c r="E736" s="825"/>
      <c r="F736" s="825"/>
      <c r="G736" s="825"/>
      <c r="H736" s="825"/>
      <c r="I736" s="825"/>
      <c r="J736" s="825"/>
      <c r="K736" s="825"/>
      <c r="L736" s="825"/>
      <c r="M736" s="825"/>
      <c r="N736" s="825"/>
      <c r="O736" s="825"/>
    </row>
    <row r="737" spans="1:15" ht="16.5" customHeight="1" x14ac:dyDescent="0.3">
      <c r="A737" s="825"/>
      <c r="B737" s="825"/>
      <c r="C737" s="825"/>
      <c r="D737" s="825"/>
      <c r="E737" s="825"/>
      <c r="F737" s="825"/>
      <c r="G737" s="825"/>
      <c r="H737" s="825"/>
      <c r="I737" s="825"/>
      <c r="J737" s="825"/>
      <c r="K737" s="825"/>
      <c r="L737" s="825"/>
      <c r="M737" s="825"/>
      <c r="N737" s="825"/>
      <c r="O737" s="825"/>
    </row>
    <row r="738" spans="1:15" ht="16.5" customHeight="1" x14ac:dyDescent="0.3">
      <c r="A738" s="825"/>
      <c r="B738" s="825"/>
      <c r="C738" s="825"/>
      <c r="D738" s="825"/>
      <c r="E738" s="825"/>
      <c r="F738" s="825"/>
      <c r="G738" s="825"/>
      <c r="H738" s="825"/>
      <c r="I738" s="825"/>
      <c r="J738" s="825"/>
      <c r="K738" s="825"/>
      <c r="L738" s="825"/>
      <c r="M738" s="825"/>
      <c r="N738" s="825"/>
      <c r="O738" s="825"/>
    </row>
    <row r="739" spans="1:15" ht="16.5" customHeight="1" x14ac:dyDescent="0.3">
      <c r="A739" s="825"/>
      <c r="B739" s="825"/>
      <c r="C739" s="825"/>
      <c r="D739" s="825"/>
      <c r="E739" s="825"/>
      <c r="F739" s="825"/>
      <c r="G739" s="825"/>
      <c r="H739" s="825"/>
      <c r="I739" s="825"/>
      <c r="J739" s="825"/>
      <c r="K739" s="825"/>
      <c r="L739" s="825"/>
      <c r="M739" s="825"/>
      <c r="N739" s="825"/>
      <c r="O739" s="825"/>
    </row>
    <row r="740" spans="1:15" ht="16.5" customHeight="1" x14ac:dyDescent="0.3">
      <c r="A740" s="825"/>
      <c r="B740" s="825"/>
      <c r="C740" s="825"/>
      <c r="D740" s="825"/>
      <c r="E740" s="825"/>
      <c r="F740" s="825"/>
      <c r="G740" s="825"/>
      <c r="H740" s="825"/>
      <c r="I740" s="825"/>
      <c r="J740" s="825"/>
      <c r="K740" s="825"/>
      <c r="L740" s="825"/>
      <c r="M740" s="825"/>
      <c r="N740" s="825"/>
      <c r="O740" s="825"/>
    </row>
    <row r="741" spans="1:15" ht="16.5" customHeight="1" x14ac:dyDescent="0.3">
      <c r="A741" s="825"/>
      <c r="B741" s="825"/>
      <c r="C741" s="825"/>
      <c r="D741" s="825"/>
      <c r="E741" s="825"/>
      <c r="F741" s="825"/>
      <c r="G741" s="825"/>
      <c r="H741" s="825"/>
      <c r="I741" s="825"/>
      <c r="J741" s="825"/>
      <c r="K741" s="825"/>
      <c r="L741" s="825"/>
      <c r="M741" s="825"/>
      <c r="N741" s="825"/>
      <c r="O741" s="825"/>
    </row>
    <row r="742" spans="1:15" ht="16.5" customHeight="1" x14ac:dyDescent="0.3">
      <c r="A742" s="825"/>
      <c r="B742" s="825"/>
      <c r="C742" s="825"/>
      <c r="D742" s="825"/>
      <c r="E742" s="825"/>
      <c r="F742" s="825"/>
      <c r="G742" s="825"/>
      <c r="H742" s="825"/>
      <c r="I742" s="825"/>
      <c r="J742" s="825"/>
      <c r="K742" s="825"/>
      <c r="L742" s="825"/>
      <c r="M742" s="825"/>
      <c r="N742" s="825"/>
      <c r="O742" s="825"/>
    </row>
    <row r="743" spans="1:15" ht="16.5" customHeight="1" x14ac:dyDescent="0.3">
      <c r="A743" s="825"/>
      <c r="B743" s="825"/>
      <c r="C743" s="825"/>
      <c r="D743" s="825"/>
      <c r="E743" s="825"/>
      <c r="F743" s="825"/>
      <c r="G743" s="825"/>
      <c r="H743" s="825"/>
      <c r="I743" s="825"/>
      <c r="J743" s="825"/>
      <c r="K743" s="825"/>
      <c r="L743" s="825"/>
      <c r="M743" s="825"/>
      <c r="N743" s="825"/>
      <c r="O743" s="825"/>
    </row>
    <row r="744" spans="1:15" ht="16.5" customHeight="1" x14ac:dyDescent="0.3">
      <c r="A744" s="825"/>
      <c r="B744" s="825"/>
      <c r="C744" s="825"/>
      <c r="D744" s="825"/>
      <c r="E744" s="825"/>
      <c r="F744" s="825"/>
      <c r="G744" s="825"/>
      <c r="H744" s="825"/>
      <c r="I744" s="825"/>
      <c r="J744" s="825"/>
      <c r="K744" s="825"/>
      <c r="L744" s="825"/>
      <c r="M744" s="825"/>
      <c r="N744" s="825"/>
      <c r="O744" s="825"/>
    </row>
    <row r="745" spans="1:15" ht="16.5" customHeight="1" x14ac:dyDescent="0.3">
      <c r="A745" s="825"/>
      <c r="B745" s="825"/>
      <c r="C745" s="825"/>
      <c r="D745" s="825"/>
      <c r="E745" s="825"/>
      <c r="F745" s="825"/>
      <c r="G745" s="825"/>
      <c r="H745" s="825"/>
      <c r="I745" s="825"/>
      <c r="J745" s="825"/>
      <c r="K745" s="825"/>
      <c r="L745" s="825"/>
      <c r="M745" s="825"/>
      <c r="N745" s="825"/>
      <c r="O745" s="825"/>
    </row>
    <row r="746" spans="1:15" ht="16.5" customHeight="1" x14ac:dyDescent="0.3">
      <c r="A746" s="825"/>
      <c r="B746" s="825"/>
      <c r="C746" s="825"/>
      <c r="D746" s="825"/>
      <c r="E746" s="825"/>
      <c r="F746" s="825"/>
      <c r="G746" s="825"/>
      <c r="H746" s="825"/>
      <c r="I746" s="825"/>
      <c r="J746" s="825"/>
      <c r="K746" s="825"/>
      <c r="L746" s="825"/>
      <c r="M746" s="825"/>
      <c r="N746" s="825"/>
      <c r="O746" s="825"/>
    </row>
    <row r="747" spans="1:15" ht="16.5" customHeight="1" x14ac:dyDescent="0.3">
      <c r="A747" s="825"/>
      <c r="B747" s="825"/>
      <c r="C747" s="825"/>
      <c r="D747" s="825"/>
      <c r="E747" s="825"/>
      <c r="F747" s="825"/>
      <c r="G747" s="825"/>
      <c r="H747" s="825"/>
      <c r="I747" s="825"/>
      <c r="J747" s="825"/>
      <c r="K747" s="825"/>
      <c r="L747" s="825"/>
      <c r="M747" s="825"/>
      <c r="N747" s="825"/>
      <c r="O747" s="825"/>
    </row>
    <row r="748" spans="1:15" ht="16.5" customHeight="1" x14ac:dyDescent="0.3">
      <c r="A748" s="825"/>
      <c r="B748" s="825"/>
      <c r="C748" s="825"/>
      <c r="D748" s="825"/>
      <c r="E748" s="825"/>
      <c r="F748" s="825"/>
      <c r="G748" s="825"/>
      <c r="H748" s="825"/>
      <c r="I748" s="825"/>
      <c r="J748" s="825"/>
      <c r="K748" s="825"/>
      <c r="L748" s="825"/>
      <c r="M748" s="825"/>
      <c r="N748" s="825"/>
      <c r="O748" s="825"/>
    </row>
    <row r="749" spans="1:15" ht="16.5" customHeight="1" x14ac:dyDescent="0.3">
      <c r="A749" s="825"/>
      <c r="B749" s="825"/>
      <c r="C749" s="825"/>
      <c r="D749" s="825"/>
      <c r="E749" s="825"/>
      <c r="F749" s="825"/>
      <c r="G749" s="825"/>
      <c r="H749" s="825"/>
      <c r="I749" s="825"/>
      <c r="J749" s="825"/>
      <c r="K749" s="825"/>
      <c r="L749" s="825"/>
      <c r="M749" s="825"/>
      <c r="N749" s="825"/>
      <c r="O749" s="825"/>
    </row>
    <row r="750" spans="1:15" ht="16.5" customHeight="1" x14ac:dyDescent="0.3">
      <c r="A750" s="825"/>
      <c r="B750" s="825"/>
      <c r="C750" s="825"/>
      <c r="D750" s="825"/>
      <c r="E750" s="825"/>
      <c r="F750" s="825"/>
      <c r="G750" s="825"/>
      <c r="H750" s="825"/>
      <c r="I750" s="825"/>
      <c r="J750" s="825"/>
      <c r="K750" s="825"/>
      <c r="L750" s="825"/>
      <c r="M750" s="825"/>
      <c r="N750" s="825"/>
      <c r="O750" s="825"/>
    </row>
    <row r="751" spans="1:15" ht="16.5" customHeight="1" x14ac:dyDescent="0.3">
      <c r="A751" s="825"/>
      <c r="B751" s="825"/>
      <c r="C751" s="825"/>
      <c r="D751" s="825"/>
      <c r="E751" s="825"/>
      <c r="F751" s="825"/>
      <c r="G751" s="825"/>
      <c r="H751" s="825"/>
      <c r="I751" s="825"/>
      <c r="J751" s="825"/>
      <c r="K751" s="825"/>
      <c r="L751" s="825"/>
      <c r="M751" s="825"/>
      <c r="N751" s="825"/>
      <c r="O751" s="825"/>
    </row>
    <row r="752" spans="1:15" ht="16.5" customHeight="1" x14ac:dyDescent="0.3">
      <c r="A752" s="825"/>
      <c r="B752" s="825"/>
      <c r="C752" s="825"/>
      <c r="D752" s="825"/>
      <c r="E752" s="825"/>
      <c r="F752" s="825"/>
      <c r="G752" s="825"/>
      <c r="H752" s="825"/>
      <c r="I752" s="825"/>
      <c r="J752" s="825"/>
      <c r="K752" s="825"/>
      <c r="L752" s="825"/>
      <c r="M752" s="825"/>
      <c r="N752" s="825"/>
      <c r="O752" s="825"/>
    </row>
    <row r="753" spans="1:15" ht="16.5" customHeight="1" x14ac:dyDescent="0.3">
      <c r="A753" s="825"/>
      <c r="B753" s="825"/>
      <c r="C753" s="825"/>
      <c r="D753" s="825"/>
      <c r="E753" s="825"/>
      <c r="F753" s="825"/>
      <c r="G753" s="825"/>
      <c r="H753" s="825"/>
      <c r="I753" s="825"/>
      <c r="J753" s="825"/>
      <c r="K753" s="825"/>
      <c r="L753" s="825"/>
      <c r="M753" s="825"/>
      <c r="N753" s="825"/>
      <c r="O753" s="825"/>
    </row>
    <row r="754" spans="1:15" ht="16.5" customHeight="1" x14ac:dyDescent="0.3">
      <c r="A754" s="825"/>
      <c r="B754" s="825"/>
      <c r="C754" s="825"/>
      <c r="D754" s="825"/>
      <c r="E754" s="825"/>
      <c r="F754" s="825"/>
      <c r="G754" s="825"/>
      <c r="H754" s="825"/>
      <c r="I754" s="825"/>
      <c r="J754" s="825"/>
      <c r="K754" s="825"/>
      <c r="L754" s="825"/>
      <c r="M754" s="825"/>
      <c r="N754" s="825"/>
      <c r="O754" s="825"/>
    </row>
    <row r="755" spans="1:15" ht="16.5" customHeight="1" x14ac:dyDescent="0.3">
      <c r="A755" s="825"/>
      <c r="B755" s="825"/>
      <c r="C755" s="825"/>
      <c r="D755" s="825"/>
      <c r="E755" s="825"/>
      <c r="F755" s="825"/>
      <c r="G755" s="825"/>
      <c r="H755" s="825"/>
      <c r="I755" s="825"/>
      <c r="J755" s="825"/>
      <c r="K755" s="825"/>
      <c r="L755" s="825"/>
      <c r="M755" s="825"/>
      <c r="N755" s="825"/>
      <c r="O755" s="825"/>
    </row>
    <row r="756" spans="1:15" ht="16.5" customHeight="1" x14ac:dyDescent="0.3">
      <c r="A756" s="825"/>
      <c r="B756" s="825"/>
      <c r="C756" s="825"/>
      <c r="D756" s="825"/>
      <c r="E756" s="825"/>
      <c r="F756" s="825"/>
      <c r="G756" s="825"/>
      <c r="H756" s="825"/>
      <c r="I756" s="825"/>
      <c r="J756" s="825"/>
      <c r="K756" s="825"/>
      <c r="L756" s="825"/>
      <c r="M756" s="825"/>
      <c r="N756" s="825"/>
      <c r="O756" s="825"/>
    </row>
    <row r="757" spans="1:15" ht="16.5" customHeight="1" x14ac:dyDescent="0.3">
      <c r="A757" s="825"/>
      <c r="B757" s="825"/>
      <c r="C757" s="825"/>
      <c r="D757" s="825"/>
      <c r="E757" s="825"/>
      <c r="F757" s="825"/>
      <c r="G757" s="825"/>
      <c r="H757" s="825"/>
      <c r="I757" s="825"/>
      <c r="J757" s="825"/>
      <c r="K757" s="825"/>
      <c r="L757" s="825"/>
      <c r="M757" s="825"/>
      <c r="N757" s="825"/>
      <c r="O757" s="825"/>
    </row>
    <row r="758" spans="1:15" ht="16.5" customHeight="1" x14ac:dyDescent="0.3">
      <c r="A758" s="825"/>
      <c r="B758" s="825"/>
      <c r="C758" s="825"/>
      <c r="D758" s="825"/>
      <c r="E758" s="825"/>
      <c r="F758" s="825"/>
      <c r="G758" s="825"/>
      <c r="H758" s="825"/>
      <c r="I758" s="825"/>
      <c r="J758" s="825"/>
      <c r="K758" s="825"/>
      <c r="L758" s="825"/>
      <c r="M758" s="825"/>
      <c r="N758" s="825"/>
      <c r="O758" s="825"/>
    </row>
    <row r="759" spans="1:15" ht="16.5" customHeight="1" x14ac:dyDescent="0.3">
      <c r="A759" s="825"/>
      <c r="B759" s="825"/>
      <c r="C759" s="825"/>
      <c r="D759" s="825"/>
      <c r="E759" s="825"/>
      <c r="F759" s="825"/>
      <c r="G759" s="825"/>
      <c r="H759" s="825"/>
      <c r="I759" s="825"/>
      <c r="J759" s="825"/>
      <c r="K759" s="825"/>
      <c r="L759" s="825"/>
      <c r="M759" s="825"/>
      <c r="N759" s="825"/>
      <c r="O759" s="825"/>
    </row>
    <row r="760" spans="1:15" ht="16.5" customHeight="1" x14ac:dyDescent="0.3">
      <c r="A760" s="825"/>
      <c r="B760" s="825"/>
      <c r="C760" s="825"/>
      <c r="D760" s="825"/>
      <c r="E760" s="825"/>
      <c r="F760" s="825"/>
      <c r="G760" s="825"/>
      <c r="H760" s="825"/>
      <c r="I760" s="825"/>
      <c r="J760" s="825"/>
      <c r="K760" s="825"/>
      <c r="L760" s="825"/>
      <c r="M760" s="825"/>
      <c r="N760" s="825"/>
      <c r="O760" s="825"/>
    </row>
    <row r="761" spans="1:15" ht="16.5" customHeight="1" x14ac:dyDescent="0.3">
      <c r="A761" s="825"/>
      <c r="B761" s="825"/>
      <c r="C761" s="825"/>
      <c r="D761" s="825"/>
      <c r="E761" s="825"/>
      <c r="F761" s="825"/>
      <c r="G761" s="825"/>
      <c r="H761" s="825"/>
      <c r="I761" s="825"/>
      <c r="J761" s="825"/>
      <c r="K761" s="825"/>
      <c r="L761" s="825"/>
      <c r="M761" s="825"/>
      <c r="N761" s="825"/>
      <c r="O761" s="825"/>
    </row>
    <row r="762" spans="1:15" ht="16.5" customHeight="1" x14ac:dyDescent="0.3">
      <c r="A762" s="825"/>
      <c r="B762" s="825"/>
      <c r="C762" s="825"/>
      <c r="D762" s="825"/>
      <c r="E762" s="825"/>
      <c r="F762" s="825"/>
      <c r="G762" s="825"/>
      <c r="H762" s="825"/>
      <c r="I762" s="825"/>
      <c r="J762" s="825"/>
      <c r="K762" s="825"/>
      <c r="L762" s="825"/>
      <c r="M762" s="825"/>
      <c r="N762" s="825"/>
      <c r="O762" s="825"/>
    </row>
    <row r="763" spans="1:15" ht="16.5" customHeight="1" x14ac:dyDescent="0.3">
      <c r="A763" s="825"/>
      <c r="B763" s="825"/>
      <c r="C763" s="825"/>
      <c r="D763" s="825"/>
      <c r="E763" s="825"/>
      <c r="F763" s="825"/>
      <c r="G763" s="825"/>
      <c r="H763" s="825"/>
      <c r="I763" s="825"/>
      <c r="J763" s="825"/>
      <c r="K763" s="825"/>
      <c r="L763" s="825"/>
      <c r="M763" s="825"/>
      <c r="N763" s="825"/>
      <c r="O763" s="825"/>
    </row>
    <row r="764" spans="1:15" ht="16.5" customHeight="1" x14ac:dyDescent="0.3">
      <c r="A764" s="825"/>
      <c r="B764" s="825"/>
      <c r="C764" s="825"/>
      <c r="D764" s="825"/>
      <c r="E764" s="825"/>
      <c r="F764" s="825"/>
      <c r="G764" s="825"/>
      <c r="H764" s="825"/>
      <c r="I764" s="825"/>
      <c r="J764" s="825"/>
      <c r="K764" s="825"/>
      <c r="L764" s="825"/>
      <c r="M764" s="825"/>
      <c r="N764" s="825"/>
      <c r="O764" s="825"/>
    </row>
    <row r="765" spans="1:15" ht="16.5" customHeight="1" x14ac:dyDescent="0.3">
      <c r="A765" s="825"/>
      <c r="B765" s="825"/>
      <c r="C765" s="825"/>
      <c r="D765" s="825"/>
      <c r="E765" s="825"/>
      <c r="F765" s="825"/>
      <c r="G765" s="825"/>
      <c r="H765" s="825"/>
      <c r="I765" s="825"/>
      <c r="J765" s="825"/>
      <c r="K765" s="825"/>
      <c r="L765" s="825"/>
      <c r="M765" s="825"/>
      <c r="N765" s="825"/>
      <c r="O765" s="825"/>
    </row>
    <row r="766" spans="1:15" ht="16.5" customHeight="1" x14ac:dyDescent="0.3">
      <c r="A766" s="825"/>
      <c r="B766" s="825"/>
      <c r="C766" s="825"/>
      <c r="D766" s="825"/>
      <c r="E766" s="825"/>
      <c r="F766" s="825"/>
      <c r="G766" s="825"/>
      <c r="H766" s="825"/>
      <c r="I766" s="825"/>
      <c r="J766" s="825"/>
      <c r="K766" s="825"/>
      <c r="L766" s="825"/>
      <c r="M766" s="825"/>
      <c r="N766" s="825"/>
      <c r="O766" s="825"/>
    </row>
    <row r="767" spans="1:15" ht="16.5" customHeight="1" x14ac:dyDescent="0.3">
      <c r="A767" s="825"/>
      <c r="B767" s="825"/>
      <c r="C767" s="825"/>
      <c r="D767" s="825"/>
      <c r="E767" s="825"/>
      <c r="F767" s="825"/>
      <c r="G767" s="825"/>
      <c r="H767" s="825"/>
      <c r="I767" s="825"/>
      <c r="J767" s="825"/>
      <c r="K767" s="825"/>
      <c r="L767" s="825"/>
      <c r="M767" s="825"/>
      <c r="N767" s="825"/>
      <c r="O767" s="825"/>
    </row>
    <row r="768" spans="1:15" ht="16.5" customHeight="1" x14ac:dyDescent="0.3">
      <c r="A768" s="825"/>
      <c r="B768" s="825"/>
      <c r="C768" s="825"/>
      <c r="D768" s="825"/>
      <c r="E768" s="825"/>
      <c r="F768" s="825"/>
      <c r="G768" s="825"/>
      <c r="H768" s="825"/>
      <c r="I768" s="825"/>
      <c r="J768" s="825"/>
      <c r="K768" s="825"/>
      <c r="L768" s="825"/>
      <c r="M768" s="825"/>
      <c r="N768" s="825"/>
      <c r="O768" s="825"/>
    </row>
    <row r="769" spans="1:15" ht="16.5" customHeight="1" x14ac:dyDescent="0.3">
      <c r="A769" s="825"/>
      <c r="B769" s="825"/>
      <c r="C769" s="825"/>
      <c r="D769" s="825"/>
      <c r="E769" s="825"/>
      <c r="F769" s="825"/>
      <c r="G769" s="825"/>
      <c r="H769" s="825"/>
      <c r="I769" s="825"/>
      <c r="J769" s="825"/>
      <c r="K769" s="825"/>
      <c r="L769" s="825"/>
      <c r="M769" s="825"/>
      <c r="N769" s="825"/>
      <c r="O769" s="825"/>
    </row>
    <row r="770" spans="1:15" ht="16.5" customHeight="1" x14ac:dyDescent="0.3">
      <c r="A770" s="825"/>
      <c r="B770" s="825"/>
      <c r="C770" s="825"/>
      <c r="D770" s="825"/>
      <c r="E770" s="825"/>
      <c r="F770" s="825"/>
      <c r="G770" s="825"/>
      <c r="H770" s="825"/>
      <c r="I770" s="825"/>
      <c r="J770" s="825"/>
      <c r="K770" s="825"/>
      <c r="L770" s="825"/>
      <c r="M770" s="825"/>
      <c r="N770" s="825"/>
      <c r="O770" s="825"/>
    </row>
    <row r="771" spans="1:15" ht="16.5" customHeight="1" x14ac:dyDescent="0.3">
      <c r="A771" s="825"/>
      <c r="B771" s="825"/>
      <c r="C771" s="825"/>
      <c r="D771" s="825"/>
      <c r="E771" s="825"/>
      <c r="F771" s="825"/>
      <c r="G771" s="825"/>
      <c r="H771" s="825"/>
      <c r="I771" s="825"/>
      <c r="J771" s="825"/>
      <c r="K771" s="825"/>
      <c r="L771" s="825"/>
      <c r="M771" s="825"/>
      <c r="N771" s="825"/>
      <c r="O771" s="825"/>
    </row>
    <row r="772" spans="1:15" ht="16.5" customHeight="1" x14ac:dyDescent="0.3">
      <c r="A772" s="825"/>
      <c r="B772" s="825"/>
      <c r="C772" s="825"/>
      <c r="D772" s="825"/>
      <c r="E772" s="825"/>
      <c r="F772" s="825"/>
      <c r="G772" s="825"/>
      <c r="H772" s="825"/>
      <c r="I772" s="825"/>
      <c r="J772" s="825"/>
      <c r="K772" s="825"/>
      <c r="L772" s="825"/>
      <c r="M772" s="825"/>
      <c r="N772" s="825"/>
      <c r="O772" s="825"/>
    </row>
    <row r="773" spans="1:15" ht="16.5" customHeight="1" x14ac:dyDescent="0.3">
      <c r="A773" s="825"/>
      <c r="B773" s="825"/>
      <c r="C773" s="825"/>
      <c r="D773" s="825"/>
      <c r="E773" s="825"/>
      <c r="F773" s="825"/>
      <c r="G773" s="825"/>
      <c r="H773" s="825"/>
      <c r="I773" s="825"/>
      <c r="J773" s="825"/>
      <c r="K773" s="825"/>
      <c r="L773" s="825"/>
      <c r="M773" s="825"/>
      <c r="N773" s="825"/>
      <c r="O773" s="825"/>
    </row>
    <row r="774" spans="1:15" ht="16.5" customHeight="1" x14ac:dyDescent="0.3">
      <c r="A774" s="825"/>
      <c r="B774" s="825"/>
      <c r="C774" s="825"/>
      <c r="D774" s="825"/>
      <c r="E774" s="825"/>
      <c r="F774" s="825"/>
      <c r="G774" s="825"/>
      <c r="H774" s="825"/>
      <c r="I774" s="825"/>
      <c r="J774" s="825"/>
      <c r="K774" s="825"/>
      <c r="L774" s="825"/>
      <c r="M774" s="825"/>
      <c r="N774" s="825"/>
      <c r="O774" s="825"/>
    </row>
    <row r="775" spans="1:15" ht="16.5" customHeight="1" x14ac:dyDescent="0.3">
      <c r="A775" s="825"/>
      <c r="B775" s="825"/>
      <c r="C775" s="825"/>
      <c r="D775" s="825"/>
      <c r="E775" s="825"/>
      <c r="F775" s="825"/>
      <c r="G775" s="825"/>
      <c r="H775" s="825"/>
      <c r="I775" s="825"/>
      <c r="J775" s="825"/>
      <c r="K775" s="825"/>
      <c r="L775" s="825"/>
      <c r="M775" s="825"/>
      <c r="N775" s="825"/>
      <c r="O775" s="825"/>
    </row>
    <row r="776" spans="1:15" ht="16.5" customHeight="1" x14ac:dyDescent="0.3">
      <c r="A776" s="825"/>
      <c r="B776" s="825"/>
      <c r="C776" s="825"/>
      <c r="D776" s="825"/>
      <c r="E776" s="825"/>
      <c r="F776" s="825"/>
      <c r="G776" s="825"/>
      <c r="H776" s="825"/>
      <c r="I776" s="825"/>
      <c r="J776" s="825"/>
      <c r="K776" s="825"/>
      <c r="L776" s="825"/>
      <c r="M776" s="825"/>
      <c r="N776" s="825"/>
      <c r="O776" s="825"/>
    </row>
    <row r="777" spans="1:15" ht="16.5" customHeight="1" x14ac:dyDescent="0.3">
      <c r="A777" s="825"/>
      <c r="B777" s="825"/>
      <c r="C777" s="825"/>
      <c r="D777" s="825"/>
      <c r="E777" s="825"/>
      <c r="F777" s="825"/>
      <c r="G777" s="825"/>
      <c r="H777" s="825"/>
      <c r="I777" s="825"/>
      <c r="J777" s="825"/>
      <c r="K777" s="825"/>
      <c r="L777" s="825"/>
      <c r="M777" s="825"/>
      <c r="N777" s="825"/>
      <c r="O777" s="825"/>
    </row>
    <row r="778" spans="1:15" ht="16.5" customHeight="1" x14ac:dyDescent="0.3">
      <c r="A778" s="825"/>
      <c r="B778" s="825"/>
      <c r="C778" s="825"/>
      <c r="D778" s="825"/>
      <c r="E778" s="825"/>
      <c r="F778" s="825"/>
      <c r="G778" s="825"/>
      <c r="H778" s="825"/>
      <c r="I778" s="825"/>
      <c r="J778" s="825"/>
      <c r="K778" s="825"/>
      <c r="L778" s="825"/>
      <c r="M778" s="825"/>
      <c r="N778" s="825"/>
      <c r="O778" s="825"/>
    </row>
    <row r="779" spans="1:15" ht="16.5" customHeight="1" x14ac:dyDescent="0.3">
      <c r="A779" s="825"/>
      <c r="B779" s="825"/>
      <c r="C779" s="825"/>
      <c r="D779" s="825"/>
      <c r="E779" s="825"/>
      <c r="F779" s="825"/>
      <c r="G779" s="825"/>
      <c r="H779" s="825"/>
      <c r="I779" s="825"/>
      <c r="J779" s="825"/>
      <c r="K779" s="825"/>
      <c r="L779" s="825"/>
      <c r="M779" s="825"/>
      <c r="N779" s="825"/>
      <c r="O779" s="825"/>
    </row>
    <row r="780" spans="1:15" ht="16.5" customHeight="1" x14ac:dyDescent="0.3">
      <c r="A780" s="825"/>
      <c r="B780" s="825"/>
      <c r="C780" s="825"/>
      <c r="D780" s="825"/>
      <c r="E780" s="825"/>
      <c r="F780" s="825"/>
      <c r="G780" s="825"/>
      <c r="H780" s="825"/>
      <c r="I780" s="825"/>
      <c r="J780" s="825"/>
      <c r="K780" s="825"/>
      <c r="L780" s="825"/>
      <c r="M780" s="825"/>
      <c r="N780" s="825"/>
      <c r="O780" s="825"/>
    </row>
    <row r="781" spans="1:15" ht="16.5" customHeight="1" x14ac:dyDescent="0.3">
      <c r="A781" s="825"/>
      <c r="B781" s="825"/>
      <c r="C781" s="825"/>
      <c r="D781" s="825"/>
      <c r="E781" s="825"/>
      <c r="F781" s="825"/>
      <c r="G781" s="825"/>
      <c r="H781" s="825"/>
      <c r="I781" s="825"/>
      <c r="J781" s="825"/>
      <c r="K781" s="825"/>
      <c r="L781" s="825"/>
      <c r="M781" s="825"/>
      <c r="N781" s="825"/>
      <c r="O781" s="825"/>
    </row>
    <row r="782" spans="1:15" ht="16.5" customHeight="1" x14ac:dyDescent="0.3">
      <c r="A782" s="825"/>
      <c r="B782" s="825"/>
      <c r="C782" s="825"/>
      <c r="D782" s="825"/>
      <c r="E782" s="825"/>
      <c r="F782" s="825"/>
      <c r="G782" s="825"/>
      <c r="H782" s="825"/>
      <c r="I782" s="825"/>
      <c r="J782" s="825"/>
      <c r="K782" s="825"/>
      <c r="L782" s="825"/>
      <c r="M782" s="825"/>
      <c r="N782" s="825"/>
      <c r="O782" s="825"/>
    </row>
    <row r="783" spans="1:15" ht="16.5" customHeight="1" x14ac:dyDescent="0.3">
      <c r="A783" s="825"/>
      <c r="B783" s="825"/>
      <c r="C783" s="825"/>
      <c r="D783" s="825"/>
      <c r="E783" s="825"/>
      <c r="F783" s="825"/>
      <c r="G783" s="825"/>
      <c r="H783" s="825"/>
      <c r="I783" s="825"/>
      <c r="J783" s="825"/>
      <c r="K783" s="825"/>
      <c r="L783" s="825"/>
      <c r="M783" s="825"/>
      <c r="N783" s="825"/>
      <c r="O783" s="825"/>
    </row>
    <row r="784" spans="1:15" ht="16.5" customHeight="1" x14ac:dyDescent="0.3">
      <c r="A784" s="825"/>
      <c r="B784" s="825"/>
      <c r="C784" s="825"/>
      <c r="D784" s="825"/>
      <c r="E784" s="825"/>
      <c r="F784" s="825"/>
      <c r="G784" s="825"/>
      <c r="H784" s="825"/>
      <c r="I784" s="825"/>
      <c r="J784" s="825"/>
      <c r="K784" s="825"/>
      <c r="L784" s="825"/>
      <c r="M784" s="825"/>
      <c r="N784" s="825"/>
      <c r="O784" s="825"/>
    </row>
    <row r="785" spans="1:15" ht="16.5" customHeight="1" x14ac:dyDescent="0.3">
      <c r="A785" s="825"/>
      <c r="B785" s="825"/>
      <c r="C785" s="825"/>
      <c r="D785" s="825"/>
      <c r="E785" s="825"/>
      <c r="F785" s="825"/>
      <c r="G785" s="825"/>
      <c r="H785" s="825"/>
      <c r="I785" s="825"/>
      <c r="J785" s="825"/>
      <c r="K785" s="825"/>
      <c r="L785" s="825"/>
      <c r="M785" s="825"/>
      <c r="N785" s="825"/>
      <c r="O785" s="825"/>
    </row>
    <row r="786" spans="1:15" ht="16.5" customHeight="1" x14ac:dyDescent="0.3">
      <c r="A786" s="825"/>
      <c r="B786" s="825"/>
      <c r="C786" s="825"/>
      <c r="D786" s="825"/>
      <c r="E786" s="825"/>
      <c r="F786" s="825"/>
      <c r="G786" s="825"/>
      <c r="H786" s="825"/>
      <c r="I786" s="825"/>
      <c r="J786" s="825"/>
      <c r="K786" s="825"/>
      <c r="L786" s="825"/>
      <c r="M786" s="825"/>
      <c r="N786" s="825"/>
      <c r="O786" s="825"/>
    </row>
    <row r="787" spans="1:15" ht="16.5" customHeight="1" x14ac:dyDescent="0.3">
      <c r="A787" s="825"/>
      <c r="B787" s="825"/>
      <c r="C787" s="825"/>
      <c r="D787" s="825"/>
      <c r="E787" s="825"/>
      <c r="F787" s="825"/>
      <c r="G787" s="825"/>
      <c r="H787" s="825"/>
      <c r="I787" s="825"/>
      <c r="J787" s="825"/>
      <c r="K787" s="825"/>
      <c r="L787" s="825"/>
      <c r="M787" s="825"/>
      <c r="N787" s="825"/>
      <c r="O787" s="825"/>
    </row>
    <row r="788" spans="1:15" ht="16.5" customHeight="1" x14ac:dyDescent="0.3">
      <c r="A788" s="825"/>
      <c r="B788" s="825"/>
      <c r="C788" s="825"/>
      <c r="D788" s="825"/>
      <c r="E788" s="825"/>
      <c r="F788" s="825"/>
      <c r="G788" s="825"/>
      <c r="H788" s="825"/>
      <c r="I788" s="825"/>
      <c r="J788" s="825"/>
      <c r="K788" s="825"/>
      <c r="L788" s="825"/>
      <c r="M788" s="825"/>
      <c r="N788" s="825"/>
      <c r="O788" s="825"/>
    </row>
    <row r="789" spans="1:15" ht="16.5" customHeight="1" x14ac:dyDescent="0.3">
      <c r="A789" s="825"/>
      <c r="B789" s="825"/>
      <c r="C789" s="825"/>
      <c r="D789" s="825"/>
      <c r="E789" s="825"/>
      <c r="F789" s="825"/>
      <c r="G789" s="825"/>
      <c r="H789" s="825"/>
      <c r="I789" s="825"/>
      <c r="J789" s="825"/>
      <c r="K789" s="825"/>
      <c r="L789" s="825"/>
      <c r="M789" s="825"/>
      <c r="N789" s="825"/>
      <c r="O789" s="825"/>
    </row>
    <row r="790" spans="1:15" ht="16.5" customHeight="1" x14ac:dyDescent="0.3">
      <c r="A790" s="825"/>
      <c r="B790" s="825"/>
      <c r="C790" s="825"/>
      <c r="D790" s="825"/>
      <c r="E790" s="825"/>
      <c r="F790" s="825"/>
      <c r="G790" s="825"/>
      <c r="H790" s="825"/>
      <c r="I790" s="825"/>
      <c r="J790" s="825"/>
      <c r="K790" s="825"/>
      <c r="L790" s="825"/>
      <c r="M790" s="825"/>
      <c r="N790" s="825"/>
      <c r="O790" s="825"/>
    </row>
    <row r="791" spans="1:15" ht="16.5" customHeight="1" x14ac:dyDescent="0.3">
      <c r="A791" s="825"/>
      <c r="B791" s="825"/>
      <c r="C791" s="825"/>
      <c r="D791" s="825"/>
      <c r="E791" s="825"/>
      <c r="F791" s="825"/>
      <c r="G791" s="825"/>
      <c r="H791" s="825"/>
      <c r="I791" s="825"/>
      <c r="J791" s="825"/>
      <c r="K791" s="825"/>
      <c r="L791" s="825"/>
      <c r="M791" s="825"/>
      <c r="N791" s="825"/>
      <c r="O791" s="825"/>
    </row>
    <row r="792" spans="1:15" ht="16.5" customHeight="1" x14ac:dyDescent="0.3">
      <c r="A792" s="825"/>
      <c r="B792" s="825"/>
      <c r="C792" s="825"/>
      <c r="D792" s="825"/>
      <c r="E792" s="825"/>
      <c r="F792" s="825"/>
      <c r="G792" s="825"/>
      <c r="H792" s="825"/>
      <c r="I792" s="825"/>
      <c r="J792" s="825"/>
      <c r="K792" s="825"/>
      <c r="L792" s="825"/>
      <c r="M792" s="825"/>
      <c r="N792" s="825"/>
      <c r="O792" s="825"/>
    </row>
    <row r="793" spans="1:15" ht="16.5" customHeight="1" x14ac:dyDescent="0.3">
      <c r="A793" s="825"/>
      <c r="B793" s="825"/>
      <c r="C793" s="825"/>
      <c r="D793" s="825"/>
      <c r="E793" s="825"/>
      <c r="F793" s="825"/>
      <c r="G793" s="825"/>
      <c r="H793" s="825"/>
      <c r="I793" s="825"/>
      <c r="J793" s="825"/>
      <c r="K793" s="825"/>
      <c r="L793" s="825"/>
      <c r="M793" s="825"/>
      <c r="N793" s="825"/>
      <c r="O793" s="825"/>
    </row>
    <row r="794" spans="1:15" ht="16.5" customHeight="1" x14ac:dyDescent="0.3">
      <c r="A794" s="825"/>
      <c r="B794" s="825"/>
      <c r="C794" s="825"/>
      <c r="D794" s="825"/>
      <c r="E794" s="825"/>
      <c r="F794" s="825"/>
      <c r="G794" s="825"/>
      <c r="H794" s="825"/>
      <c r="I794" s="825"/>
      <c r="J794" s="825"/>
      <c r="K794" s="825"/>
      <c r="L794" s="825"/>
      <c r="M794" s="825"/>
      <c r="N794" s="825"/>
      <c r="O794" s="825"/>
    </row>
    <row r="795" spans="1:15" ht="16.5" customHeight="1" x14ac:dyDescent="0.3">
      <c r="A795" s="825"/>
      <c r="B795" s="825"/>
      <c r="C795" s="825"/>
      <c r="D795" s="825"/>
      <c r="E795" s="825"/>
      <c r="F795" s="825"/>
      <c r="G795" s="825"/>
      <c r="H795" s="825"/>
      <c r="I795" s="825"/>
      <c r="J795" s="825"/>
      <c r="K795" s="825"/>
      <c r="L795" s="825"/>
      <c r="M795" s="825"/>
      <c r="N795" s="825"/>
      <c r="O795" s="825"/>
    </row>
    <row r="796" spans="1:15" ht="16.5" customHeight="1" x14ac:dyDescent="0.3">
      <c r="A796" s="825"/>
      <c r="B796" s="825"/>
      <c r="C796" s="825"/>
      <c r="D796" s="825"/>
      <c r="E796" s="825"/>
      <c r="F796" s="825"/>
      <c r="G796" s="825"/>
      <c r="H796" s="825"/>
      <c r="I796" s="825"/>
      <c r="J796" s="825"/>
      <c r="K796" s="825"/>
      <c r="L796" s="825"/>
      <c r="M796" s="825"/>
      <c r="N796" s="825"/>
      <c r="O796" s="825"/>
    </row>
    <row r="797" spans="1:15" ht="16.5" customHeight="1" x14ac:dyDescent="0.3">
      <c r="A797" s="825"/>
      <c r="B797" s="825"/>
      <c r="C797" s="825"/>
      <c r="D797" s="825"/>
      <c r="E797" s="825"/>
      <c r="F797" s="825"/>
      <c r="G797" s="825"/>
      <c r="H797" s="825"/>
      <c r="I797" s="825"/>
      <c r="J797" s="825"/>
      <c r="K797" s="825"/>
      <c r="L797" s="825"/>
      <c r="M797" s="825"/>
      <c r="N797" s="825"/>
      <c r="O797" s="825"/>
    </row>
    <row r="798" spans="1:15" ht="16.5" customHeight="1" x14ac:dyDescent="0.3">
      <c r="A798" s="825"/>
      <c r="B798" s="825"/>
      <c r="C798" s="825"/>
      <c r="D798" s="825"/>
      <c r="E798" s="825"/>
      <c r="F798" s="825"/>
      <c r="G798" s="825"/>
      <c r="H798" s="825"/>
      <c r="I798" s="825"/>
      <c r="J798" s="825"/>
      <c r="K798" s="825"/>
      <c r="L798" s="825"/>
      <c r="M798" s="825"/>
      <c r="N798" s="825"/>
      <c r="O798" s="825"/>
    </row>
    <row r="799" spans="1:15" ht="16.5" customHeight="1" x14ac:dyDescent="0.3">
      <c r="A799" s="825"/>
      <c r="B799" s="825"/>
      <c r="C799" s="825"/>
      <c r="D799" s="825"/>
      <c r="E799" s="825"/>
      <c r="F799" s="825"/>
      <c r="G799" s="825"/>
      <c r="H799" s="825"/>
      <c r="I799" s="825"/>
      <c r="J799" s="825"/>
      <c r="K799" s="825"/>
      <c r="L799" s="825"/>
      <c r="M799" s="825"/>
      <c r="N799" s="825"/>
      <c r="O799" s="825"/>
    </row>
    <row r="800" spans="1:15" ht="16.5" customHeight="1" x14ac:dyDescent="0.3">
      <c r="A800" s="825"/>
      <c r="B800" s="825"/>
      <c r="C800" s="825"/>
      <c r="D800" s="825"/>
      <c r="E800" s="825"/>
      <c r="F800" s="825"/>
      <c r="G800" s="825"/>
      <c r="H800" s="825"/>
      <c r="I800" s="825"/>
      <c r="J800" s="825"/>
      <c r="K800" s="825"/>
      <c r="L800" s="825"/>
      <c r="M800" s="825"/>
      <c r="N800" s="825"/>
      <c r="O800" s="825"/>
    </row>
    <row r="801" spans="1:15" ht="16.5" customHeight="1" x14ac:dyDescent="0.3">
      <c r="A801" s="825"/>
      <c r="B801" s="825"/>
      <c r="C801" s="825"/>
      <c r="D801" s="825"/>
      <c r="E801" s="825"/>
      <c r="F801" s="825"/>
      <c r="G801" s="825"/>
      <c r="H801" s="825"/>
      <c r="I801" s="825"/>
      <c r="J801" s="825"/>
      <c r="K801" s="825"/>
      <c r="L801" s="825"/>
      <c r="M801" s="825"/>
      <c r="N801" s="825"/>
      <c r="O801" s="825"/>
    </row>
    <row r="802" spans="1:15" ht="16.5" customHeight="1" x14ac:dyDescent="0.3">
      <c r="A802" s="825"/>
      <c r="B802" s="825"/>
      <c r="C802" s="825"/>
      <c r="D802" s="825"/>
      <c r="E802" s="825"/>
      <c r="F802" s="825"/>
      <c r="G802" s="825"/>
      <c r="H802" s="825"/>
      <c r="I802" s="825"/>
      <c r="J802" s="825"/>
      <c r="K802" s="825"/>
      <c r="L802" s="825"/>
      <c r="M802" s="825"/>
      <c r="N802" s="825"/>
      <c r="O802" s="825"/>
    </row>
    <row r="803" spans="1:15" ht="16.5" customHeight="1" x14ac:dyDescent="0.3">
      <c r="A803" s="825"/>
      <c r="B803" s="825"/>
      <c r="C803" s="825"/>
      <c r="D803" s="825"/>
      <c r="E803" s="825"/>
      <c r="F803" s="825"/>
      <c r="G803" s="825"/>
      <c r="H803" s="825"/>
      <c r="I803" s="825"/>
      <c r="J803" s="825"/>
      <c r="K803" s="825"/>
      <c r="L803" s="825"/>
      <c r="M803" s="825"/>
      <c r="N803" s="825"/>
      <c r="O803" s="825"/>
    </row>
    <row r="804" spans="1:15" ht="16.5" customHeight="1" x14ac:dyDescent="0.3">
      <c r="A804" s="825"/>
      <c r="B804" s="825"/>
      <c r="C804" s="825"/>
      <c r="D804" s="825"/>
      <c r="E804" s="825"/>
      <c r="F804" s="825"/>
      <c r="G804" s="825"/>
      <c r="H804" s="825"/>
      <c r="I804" s="825"/>
      <c r="J804" s="825"/>
      <c r="K804" s="825"/>
      <c r="L804" s="825"/>
      <c r="M804" s="825"/>
      <c r="N804" s="825"/>
      <c r="O804" s="825"/>
    </row>
    <row r="805" spans="1:15" ht="16.5" customHeight="1" x14ac:dyDescent="0.3">
      <c r="A805" s="825"/>
      <c r="B805" s="825"/>
      <c r="C805" s="825"/>
      <c r="D805" s="825"/>
      <c r="E805" s="825"/>
      <c r="F805" s="825"/>
      <c r="G805" s="825"/>
      <c r="H805" s="825"/>
      <c r="I805" s="825"/>
      <c r="J805" s="825"/>
      <c r="K805" s="825"/>
      <c r="L805" s="825"/>
      <c r="M805" s="825"/>
      <c r="N805" s="825"/>
      <c r="O805" s="825"/>
    </row>
    <row r="806" spans="1:15" ht="16.5" customHeight="1" x14ac:dyDescent="0.3">
      <c r="A806" s="825"/>
      <c r="B806" s="825"/>
      <c r="C806" s="825"/>
      <c r="D806" s="825"/>
      <c r="E806" s="825"/>
      <c r="F806" s="825"/>
      <c r="G806" s="825"/>
      <c r="H806" s="825"/>
      <c r="I806" s="825"/>
      <c r="J806" s="825"/>
      <c r="K806" s="825"/>
      <c r="L806" s="825"/>
      <c r="M806" s="825"/>
      <c r="N806" s="825"/>
      <c r="O806" s="825"/>
    </row>
    <row r="807" spans="1:15" ht="16.5" customHeight="1" x14ac:dyDescent="0.3">
      <c r="A807" s="825"/>
      <c r="B807" s="825"/>
      <c r="C807" s="825"/>
      <c r="D807" s="825"/>
      <c r="E807" s="825"/>
      <c r="F807" s="825"/>
      <c r="G807" s="825"/>
      <c r="H807" s="825"/>
      <c r="I807" s="825"/>
      <c r="J807" s="825"/>
      <c r="K807" s="825"/>
      <c r="L807" s="825"/>
      <c r="M807" s="825"/>
      <c r="N807" s="825"/>
      <c r="O807" s="825"/>
    </row>
    <row r="808" spans="1:15" ht="16.5" customHeight="1" x14ac:dyDescent="0.3">
      <c r="A808" s="825"/>
      <c r="B808" s="825"/>
      <c r="C808" s="825"/>
      <c r="D808" s="825"/>
      <c r="E808" s="825"/>
      <c r="F808" s="825"/>
      <c r="G808" s="825"/>
      <c r="H808" s="825"/>
      <c r="I808" s="825"/>
      <c r="J808" s="825"/>
      <c r="K808" s="825"/>
      <c r="L808" s="825"/>
      <c r="M808" s="825"/>
      <c r="N808" s="825"/>
      <c r="O808" s="825"/>
    </row>
    <row r="809" spans="1:15" ht="16.5" customHeight="1" x14ac:dyDescent="0.3">
      <c r="A809" s="825"/>
      <c r="B809" s="825"/>
      <c r="C809" s="825"/>
      <c r="D809" s="825"/>
      <c r="E809" s="825"/>
      <c r="F809" s="825"/>
      <c r="G809" s="825"/>
      <c r="H809" s="825"/>
      <c r="I809" s="825"/>
      <c r="J809" s="825"/>
      <c r="K809" s="825"/>
      <c r="L809" s="825"/>
      <c r="M809" s="825"/>
      <c r="N809" s="825"/>
      <c r="O809" s="825"/>
    </row>
    <row r="810" spans="1:15" ht="16.5" customHeight="1" x14ac:dyDescent="0.3">
      <c r="A810" s="825"/>
      <c r="B810" s="825"/>
      <c r="C810" s="825"/>
      <c r="D810" s="825"/>
      <c r="E810" s="825"/>
      <c r="F810" s="825"/>
      <c r="G810" s="825"/>
      <c r="H810" s="825"/>
      <c r="I810" s="825"/>
      <c r="J810" s="825"/>
      <c r="K810" s="825"/>
      <c r="L810" s="825"/>
      <c r="M810" s="825"/>
      <c r="N810" s="825"/>
      <c r="O810" s="825"/>
    </row>
    <row r="811" spans="1:15" ht="16.5" customHeight="1" x14ac:dyDescent="0.3">
      <c r="A811" s="825"/>
      <c r="B811" s="825"/>
      <c r="C811" s="825"/>
      <c r="D811" s="825"/>
      <c r="E811" s="825"/>
      <c r="F811" s="825"/>
      <c r="G811" s="825"/>
      <c r="H811" s="825"/>
      <c r="I811" s="825"/>
      <c r="J811" s="825"/>
      <c r="K811" s="825"/>
      <c r="L811" s="825"/>
      <c r="M811" s="825"/>
      <c r="N811" s="825"/>
      <c r="O811" s="825"/>
    </row>
    <row r="812" spans="1:15" ht="16.5" customHeight="1" x14ac:dyDescent="0.3">
      <c r="A812" s="825"/>
      <c r="B812" s="825"/>
      <c r="C812" s="825"/>
      <c r="D812" s="825"/>
      <c r="E812" s="825"/>
      <c r="F812" s="825"/>
      <c r="G812" s="825"/>
      <c r="H812" s="825"/>
      <c r="I812" s="825"/>
      <c r="J812" s="825"/>
      <c r="K812" s="825"/>
      <c r="L812" s="825"/>
      <c r="M812" s="825"/>
      <c r="N812" s="825"/>
      <c r="O812" s="825"/>
    </row>
    <row r="813" spans="1:15" ht="16.5" customHeight="1" x14ac:dyDescent="0.3">
      <c r="A813" s="825"/>
      <c r="B813" s="825"/>
      <c r="C813" s="825"/>
      <c r="D813" s="825"/>
      <c r="E813" s="825"/>
      <c r="F813" s="825"/>
      <c r="G813" s="825"/>
      <c r="H813" s="825"/>
      <c r="I813" s="825"/>
      <c r="J813" s="825"/>
      <c r="K813" s="825"/>
      <c r="L813" s="825"/>
      <c r="M813" s="825"/>
      <c r="N813" s="825"/>
      <c r="O813" s="825"/>
    </row>
    <row r="814" spans="1:15" ht="16.5" customHeight="1" x14ac:dyDescent="0.3">
      <c r="A814" s="825"/>
      <c r="B814" s="825"/>
      <c r="C814" s="825"/>
      <c r="D814" s="825"/>
      <c r="E814" s="825"/>
      <c r="F814" s="825"/>
      <c r="G814" s="825"/>
      <c r="H814" s="825"/>
      <c r="I814" s="825"/>
      <c r="J814" s="825"/>
      <c r="K814" s="825"/>
      <c r="L814" s="825"/>
      <c r="M814" s="825"/>
      <c r="N814" s="825"/>
      <c r="O814" s="825"/>
    </row>
    <row r="815" spans="1:15" ht="16.5" customHeight="1" x14ac:dyDescent="0.3">
      <c r="A815" s="825"/>
      <c r="B815" s="825"/>
      <c r="C815" s="825"/>
      <c r="D815" s="825"/>
      <c r="E815" s="825"/>
      <c r="F815" s="825"/>
      <c r="G815" s="825"/>
      <c r="H815" s="825"/>
      <c r="I815" s="825"/>
      <c r="J815" s="825"/>
      <c r="K815" s="825"/>
      <c r="L815" s="825"/>
      <c r="M815" s="825"/>
      <c r="N815" s="825"/>
      <c r="O815" s="825"/>
    </row>
    <row r="816" spans="1:15" ht="16.5" customHeight="1" x14ac:dyDescent="0.3">
      <c r="A816" s="825"/>
      <c r="B816" s="825"/>
      <c r="C816" s="825"/>
      <c r="D816" s="825"/>
      <c r="E816" s="825"/>
      <c r="F816" s="825"/>
      <c r="G816" s="825"/>
      <c r="H816" s="825"/>
      <c r="I816" s="825"/>
      <c r="J816" s="825"/>
      <c r="K816" s="825"/>
      <c r="L816" s="825"/>
      <c r="M816" s="825"/>
      <c r="N816" s="825"/>
      <c r="O816" s="825"/>
    </row>
    <row r="817" spans="1:15" ht="16.5" customHeight="1" x14ac:dyDescent="0.3">
      <c r="A817" s="825"/>
      <c r="B817" s="825"/>
      <c r="C817" s="825"/>
      <c r="D817" s="825"/>
      <c r="E817" s="825"/>
      <c r="F817" s="825"/>
      <c r="G817" s="825"/>
      <c r="H817" s="825"/>
      <c r="I817" s="825"/>
      <c r="J817" s="825"/>
      <c r="K817" s="825"/>
      <c r="L817" s="825"/>
      <c r="M817" s="825"/>
      <c r="N817" s="825"/>
      <c r="O817" s="825"/>
    </row>
    <row r="818" spans="1:15" ht="16.5" customHeight="1" x14ac:dyDescent="0.3">
      <c r="A818" s="825"/>
      <c r="B818" s="825"/>
      <c r="C818" s="825"/>
      <c r="D818" s="825"/>
      <c r="E818" s="825"/>
      <c r="F818" s="825"/>
      <c r="G818" s="825"/>
      <c r="H818" s="825"/>
      <c r="I818" s="825"/>
      <c r="J818" s="825"/>
      <c r="K818" s="825"/>
      <c r="L818" s="825"/>
      <c r="M818" s="825"/>
      <c r="N818" s="825"/>
      <c r="O818" s="825"/>
    </row>
    <row r="819" spans="1:15" ht="16.5" customHeight="1" x14ac:dyDescent="0.3">
      <c r="A819" s="825"/>
      <c r="B819" s="825"/>
      <c r="C819" s="825"/>
      <c r="D819" s="825"/>
      <c r="E819" s="825"/>
      <c r="F819" s="825"/>
      <c r="G819" s="825"/>
      <c r="H819" s="825"/>
      <c r="I819" s="825"/>
      <c r="J819" s="825"/>
      <c r="K819" s="825"/>
      <c r="L819" s="825"/>
      <c r="M819" s="825"/>
      <c r="N819" s="825"/>
      <c r="O819" s="825"/>
    </row>
    <row r="820" spans="1:15" ht="16.5" customHeight="1" x14ac:dyDescent="0.3">
      <c r="A820" s="825"/>
      <c r="B820" s="825"/>
      <c r="C820" s="825"/>
      <c r="D820" s="825"/>
      <c r="E820" s="825"/>
      <c r="F820" s="825"/>
      <c r="G820" s="825"/>
      <c r="H820" s="825"/>
      <c r="I820" s="825"/>
      <c r="J820" s="825"/>
      <c r="K820" s="825"/>
      <c r="L820" s="825"/>
      <c r="M820" s="825"/>
      <c r="N820" s="825"/>
      <c r="O820" s="825"/>
    </row>
    <row r="821" spans="1:15" ht="16.5" customHeight="1" x14ac:dyDescent="0.3">
      <c r="A821" s="825"/>
      <c r="B821" s="825"/>
      <c r="C821" s="825"/>
      <c r="D821" s="825"/>
      <c r="E821" s="825"/>
      <c r="F821" s="825"/>
      <c r="G821" s="825"/>
      <c r="H821" s="825"/>
      <c r="I821" s="825"/>
      <c r="J821" s="825"/>
      <c r="K821" s="825"/>
      <c r="L821" s="825"/>
      <c r="M821" s="825"/>
      <c r="N821" s="825"/>
      <c r="O821" s="825"/>
    </row>
    <row r="822" spans="1:15" ht="16.5" customHeight="1" x14ac:dyDescent="0.3">
      <c r="A822" s="825"/>
      <c r="B822" s="825"/>
      <c r="C822" s="825"/>
      <c r="D822" s="825"/>
      <c r="E822" s="825"/>
      <c r="F822" s="825"/>
      <c r="G822" s="825"/>
      <c r="H822" s="825"/>
      <c r="I822" s="825"/>
      <c r="J822" s="825"/>
      <c r="K822" s="825"/>
      <c r="L822" s="825"/>
      <c r="M822" s="825"/>
      <c r="N822" s="825"/>
      <c r="O822" s="825"/>
    </row>
    <row r="823" spans="1:15" ht="16.5" customHeight="1" x14ac:dyDescent="0.3">
      <c r="A823" s="825"/>
      <c r="B823" s="825"/>
      <c r="C823" s="825"/>
      <c r="D823" s="825"/>
      <c r="E823" s="825"/>
      <c r="F823" s="825"/>
      <c r="G823" s="825"/>
      <c r="H823" s="825"/>
      <c r="I823" s="825"/>
      <c r="J823" s="825"/>
      <c r="K823" s="825"/>
      <c r="L823" s="825"/>
      <c r="M823" s="825"/>
      <c r="N823" s="825"/>
      <c r="O823" s="825"/>
    </row>
    <row r="824" spans="1:15" ht="16.5" customHeight="1" x14ac:dyDescent="0.3">
      <c r="A824" s="825"/>
      <c r="B824" s="825"/>
      <c r="C824" s="825"/>
      <c r="D824" s="825"/>
      <c r="E824" s="825"/>
      <c r="F824" s="825"/>
      <c r="G824" s="825"/>
      <c r="H824" s="825"/>
      <c r="I824" s="825"/>
      <c r="J824" s="825"/>
      <c r="K824" s="825"/>
      <c r="L824" s="825"/>
      <c r="M824" s="825"/>
      <c r="N824" s="825"/>
      <c r="O824" s="825"/>
    </row>
    <row r="825" spans="1:15" ht="16.5" customHeight="1" x14ac:dyDescent="0.3">
      <c r="A825" s="825"/>
      <c r="B825" s="825"/>
      <c r="C825" s="825"/>
      <c r="D825" s="825"/>
      <c r="E825" s="825"/>
      <c r="F825" s="825"/>
      <c r="G825" s="825"/>
      <c r="H825" s="825"/>
      <c r="I825" s="825"/>
      <c r="J825" s="825"/>
      <c r="K825" s="825"/>
      <c r="L825" s="825"/>
      <c r="M825" s="825"/>
      <c r="N825" s="825"/>
      <c r="O825" s="825"/>
    </row>
    <row r="826" spans="1:15" ht="16.5" customHeight="1" x14ac:dyDescent="0.3">
      <c r="A826" s="825"/>
      <c r="B826" s="825"/>
      <c r="C826" s="825"/>
      <c r="D826" s="825"/>
      <c r="E826" s="825"/>
      <c r="F826" s="825"/>
      <c r="G826" s="825"/>
      <c r="H826" s="825"/>
      <c r="I826" s="825"/>
      <c r="J826" s="825"/>
      <c r="K826" s="825"/>
      <c r="L826" s="825"/>
      <c r="M826" s="825"/>
      <c r="N826" s="825"/>
      <c r="O826" s="825"/>
    </row>
    <row r="827" spans="1:15" ht="16.5" customHeight="1" x14ac:dyDescent="0.3">
      <c r="A827" s="825"/>
      <c r="B827" s="825"/>
      <c r="C827" s="825"/>
      <c r="D827" s="825"/>
      <c r="E827" s="825"/>
      <c r="F827" s="825"/>
      <c r="G827" s="825"/>
      <c r="H827" s="825"/>
      <c r="I827" s="825"/>
      <c r="J827" s="825"/>
      <c r="K827" s="825"/>
      <c r="L827" s="825"/>
      <c r="M827" s="825"/>
      <c r="N827" s="825"/>
      <c r="O827" s="825"/>
    </row>
    <row r="828" spans="1:15" ht="16.5" customHeight="1" x14ac:dyDescent="0.3">
      <c r="A828" s="825"/>
      <c r="B828" s="825"/>
      <c r="C828" s="825"/>
      <c r="D828" s="825"/>
      <c r="E828" s="825"/>
      <c r="F828" s="825"/>
      <c r="G828" s="825"/>
      <c r="H828" s="825"/>
      <c r="I828" s="825"/>
      <c r="J828" s="825"/>
      <c r="K828" s="825"/>
      <c r="L828" s="825"/>
      <c r="M828" s="825"/>
      <c r="N828" s="825"/>
      <c r="O828" s="825"/>
    </row>
    <row r="829" spans="1:15" ht="16.5" customHeight="1" x14ac:dyDescent="0.3">
      <c r="A829" s="825"/>
      <c r="B829" s="825"/>
      <c r="C829" s="825"/>
      <c r="D829" s="825"/>
      <c r="E829" s="825"/>
      <c r="F829" s="825"/>
      <c r="G829" s="825"/>
      <c r="H829" s="825"/>
      <c r="I829" s="825"/>
      <c r="J829" s="825"/>
      <c r="K829" s="825"/>
      <c r="L829" s="825"/>
      <c r="M829" s="825"/>
      <c r="N829" s="825"/>
      <c r="O829" s="825"/>
    </row>
    <row r="830" spans="1:15" ht="16.5" customHeight="1" x14ac:dyDescent="0.3">
      <c r="A830" s="825"/>
      <c r="B830" s="825"/>
      <c r="C830" s="825"/>
      <c r="D830" s="825"/>
      <c r="E830" s="825"/>
      <c r="F830" s="825"/>
      <c r="G830" s="825"/>
      <c r="H830" s="825"/>
      <c r="I830" s="825"/>
      <c r="J830" s="825"/>
      <c r="K830" s="825"/>
      <c r="L830" s="825"/>
      <c r="M830" s="825"/>
      <c r="N830" s="825"/>
      <c r="O830" s="825"/>
    </row>
    <row r="831" spans="1:15" ht="16.5" customHeight="1" x14ac:dyDescent="0.3">
      <c r="A831" s="825"/>
      <c r="B831" s="825"/>
      <c r="C831" s="825"/>
      <c r="D831" s="825"/>
      <c r="E831" s="825"/>
      <c r="F831" s="825"/>
      <c r="G831" s="825"/>
      <c r="H831" s="825"/>
      <c r="I831" s="825"/>
      <c r="J831" s="825"/>
      <c r="K831" s="825"/>
      <c r="L831" s="825"/>
      <c r="M831" s="825"/>
      <c r="N831" s="825"/>
      <c r="O831" s="825"/>
    </row>
    <row r="832" spans="1:15" ht="16.5" customHeight="1" x14ac:dyDescent="0.3">
      <c r="A832" s="825"/>
      <c r="B832" s="825"/>
      <c r="C832" s="825"/>
      <c r="D832" s="825"/>
      <c r="E832" s="825"/>
      <c r="F832" s="825"/>
      <c r="G832" s="825"/>
      <c r="H832" s="825"/>
      <c r="I832" s="825"/>
      <c r="J832" s="825"/>
      <c r="K832" s="825"/>
      <c r="L832" s="825"/>
      <c r="M832" s="825"/>
      <c r="N832" s="825"/>
      <c r="O832" s="825"/>
    </row>
    <row r="833" spans="1:15" ht="16.5" customHeight="1" x14ac:dyDescent="0.3">
      <c r="A833" s="825"/>
      <c r="B833" s="825"/>
      <c r="C833" s="825"/>
      <c r="D833" s="825"/>
      <c r="E833" s="825"/>
      <c r="F833" s="825"/>
      <c r="G833" s="825"/>
      <c r="H833" s="825"/>
      <c r="I833" s="825"/>
      <c r="J833" s="825"/>
      <c r="K833" s="825"/>
      <c r="L833" s="825"/>
      <c r="M833" s="825"/>
      <c r="N833" s="825"/>
      <c r="O833" s="825"/>
    </row>
    <row r="834" spans="1:15" ht="16.5" customHeight="1" x14ac:dyDescent="0.3">
      <c r="A834" s="825"/>
      <c r="B834" s="825"/>
      <c r="C834" s="825"/>
      <c r="D834" s="825"/>
      <c r="E834" s="825"/>
      <c r="F834" s="825"/>
      <c r="G834" s="825"/>
      <c r="H834" s="825"/>
      <c r="I834" s="825"/>
      <c r="J834" s="825"/>
      <c r="K834" s="825"/>
      <c r="L834" s="825"/>
      <c r="M834" s="825"/>
      <c r="N834" s="825"/>
      <c r="O834" s="825"/>
    </row>
    <row r="835" spans="1:15" ht="16.5" customHeight="1" x14ac:dyDescent="0.3">
      <c r="A835" s="825"/>
      <c r="B835" s="825"/>
      <c r="C835" s="825"/>
      <c r="D835" s="825"/>
      <c r="E835" s="825"/>
      <c r="F835" s="825"/>
      <c r="G835" s="825"/>
      <c r="H835" s="825"/>
      <c r="I835" s="825"/>
      <c r="J835" s="825"/>
      <c r="K835" s="825"/>
      <c r="L835" s="825"/>
      <c r="M835" s="825"/>
      <c r="N835" s="825"/>
      <c r="O835" s="825"/>
    </row>
    <row r="836" spans="1:15" ht="16.5" customHeight="1" x14ac:dyDescent="0.3">
      <c r="A836" s="825"/>
      <c r="B836" s="825"/>
      <c r="C836" s="825"/>
      <c r="D836" s="825"/>
      <c r="E836" s="825"/>
      <c r="F836" s="825"/>
      <c r="G836" s="825"/>
      <c r="H836" s="825"/>
      <c r="I836" s="825"/>
      <c r="J836" s="825"/>
      <c r="K836" s="825"/>
      <c r="L836" s="825"/>
      <c r="M836" s="825"/>
      <c r="N836" s="825"/>
      <c r="O836" s="825"/>
    </row>
    <row r="837" spans="1:15" ht="16.5" customHeight="1" x14ac:dyDescent="0.3">
      <c r="A837" s="825"/>
      <c r="B837" s="825"/>
      <c r="C837" s="825"/>
      <c r="D837" s="825"/>
      <c r="E837" s="825"/>
      <c r="F837" s="825"/>
      <c r="G837" s="825"/>
      <c r="H837" s="825"/>
      <c r="I837" s="825"/>
      <c r="J837" s="825"/>
      <c r="K837" s="825"/>
      <c r="L837" s="825"/>
      <c r="M837" s="825"/>
      <c r="N837" s="825"/>
      <c r="O837" s="825"/>
    </row>
    <row r="838" spans="1:15" ht="16.5" customHeight="1" x14ac:dyDescent="0.3">
      <c r="A838" s="825"/>
      <c r="B838" s="825"/>
      <c r="C838" s="825"/>
      <c r="D838" s="825"/>
      <c r="E838" s="825"/>
      <c r="F838" s="825"/>
      <c r="G838" s="825"/>
      <c r="H838" s="825"/>
      <c r="I838" s="825"/>
      <c r="J838" s="825"/>
      <c r="K838" s="825"/>
      <c r="L838" s="825"/>
      <c r="M838" s="825"/>
      <c r="N838" s="825"/>
      <c r="O838" s="825"/>
    </row>
    <row r="839" spans="1:15" ht="16.5" customHeight="1" x14ac:dyDescent="0.3">
      <c r="A839" s="825"/>
      <c r="B839" s="825"/>
      <c r="C839" s="825"/>
      <c r="D839" s="825"/>
      <c r="E839" s="825"/>
      <c r="F839" s="825"/>
      <c r="G839" s="825"/>
      <c r="H839" s="825"/>
      <c r="I839" s="825"/>
      <c r="J839" s="825"/>
      <c r="K839" s="825"/>
      <c r="L839" s="825"/>
      <c r="M839" s="825"/>
      <c r="N839" s="825"/>
      <c r="O839" s="825"/>
    </row>
    <row r="840" spans="1:15" ht="16.5" customHeight="1" x14ac:dyDescent="0.3">
      <c r="A840" s="825"/>
      <c r="B840" s="825"/>
      <c r="C840" s="825"/>
      <c r="D840" s="825"/>
      <c r="E840" s="825"/>
      <c r="F840" s="825"/>
      <c r="G840" s="825"/>
      <c r="H840" s="825"/>
      <c r="I840" s="825"/>
      <c r="J840" s="825"/>
      <c r="K840" s="825"/>
      <c r="L840" s="825"/>
      <c r="M840" s="825"/>
      <c r="N840" s="825"/>
      <c r="O840" s="825"/>
    </row>
    <row r="841" spans="1:15" ht="16.5" customHeight="1" x14ac:dyDescent="0.3">
      <c r="A841" s="825"/>
      <c r="B841" s="825"/>
      <c r="C841" s="825"/>
      <c r="D841" s="825"/>
      <c r="E841" s="825"/>
      <c r="F841" s="825"/>
      <c r="G841" s="825"/>
      <c r="H841" s="825"/>
      <c r="I841" s="825"/>
      <c r="J841" s="825"/>
      <c r="K841" s="825"/>
      <c r="L841" s="825"/>
      <c r="M841" s="825"/>
      <c r="N841" s="825"/>
      <c r="O841" s="825"/>
    </row>
    <row r="842" spans="1:15" ht="16.5" customHeight="1" x14ac:dyDescent="0.3">
      <c r="A842" s="825"/>
      <c r="B842" s="825"/>
      <c r="C842" s="825"/>
      <c r="D842" s="825"/>
      <c r="E842" s="825"/>
      <c r="F842" s="825"/>
      <c r="G842" s="825"/>
      <c r="H842" s="825"/>
      <c r="I842" s="825"/>
      <c r="J842" s="825"/>
      <c r="K842" s="825"/>
      <c r="L842" s="825"/>
      <c r="M842" s="825"/>
      <c r="N842" s="825"/>
      <c r="O842" s="825"/>
    </row>
    <row r="843" spans="1:15" ht="16.5" customHeight="1" x14ac:dyDescent="0.3">
      <c r="A843" s="825"/>
      <c r="B843" s="825"/>
      <c r="C843" s="825"/>
      <c r="D843" s="825"/>
      <c r="E843" s="825"/>
      <c r="F843" s="825"/>
      <c r="G843" s="825"/>
      <c r="H843" s="825"/>
      <c r="I843" s="825"/>
      <c r="J843" s="825"/>
      <c r="K843" s="825"/>
      <c r="L843" s="825"/>
      <c r="M843" s="825"/>
      <c r="N843" s="825"/>
      <c r="O843" s="825"/>
    </row>
    <row r="844" spans="1:15" ht="16.5" customHeight="1" x14ac:dyDescent="0.3">
      <c r="A844" s="825"/>
      <c r="B844" s="825"/>
      <c r="C844" s="825"/>
      <c r="D844" s="825"/>
      <c r="E844" s="825"/>
      <c r="F844" s="825"/>
      <c r="G844" s="825"/>
      <c r="H844" s="825"/>
      <c r="I844" s="825"/>
      <c r="J844" s="825"/>
      <c r="K844" s="825"/>
      <c r="L844" s="825"/>
      <c r="M844" s="825"/>
      <c r="N844" s="825"/>
      <c r="O844" s="825"/>
    </row>
    <row r="845" spans="1:15" ht="16.5" customHeight="1" x14ac:dyDescent="0.3">
      <c r="A845" s="825"/>
      <c r="B845" s="825"/>
      <c r="C845" s="825"/>
      <c r="D845" s="825"/>
      <c r="E845" s="825"/>
      <c r="F845" s="825"/>
      <c r="G845" s="825"/>
      <c r="H845" s="825"/>
      <c r="I845" s="825"/>
      <c r="J845" s="825"/>
      <c r="K845" s="825"/>
      <c r="L845" s="825"/>
      <c r="M845" s="825"/>
      <c r="N845" s="825"/>
      <c r="O845" s="825"/>
    </row>
    <row r="846" spans="1:15" ht="16.5" customHeight="1" x14ac:dyDescent="0.3">
      <c r="A846" s="825"/>
      <c r="B846" s="825"/>
      <c r="C846" s="825"/>
      <c r="D846" s="825"/>
      <c r="E846" s="825"/>
      <c r="F846" s="825"/>
      <c r="G846" s="825"/>
      <c r="H846" s="825"/>
      <c r="I846" s="825"/>
      <c r="J846" s="825"/>
      <c r="K846" s="825"/>
      <c r="L846" s="825"/>
      <c r="M846" s="825"/>
      <c r="N846" s="825"/>
      <c r="O846" s="825"/>
    </row>
    <row r="847" spans="1:15" ht="16.5" customHeight="1" x14ac:dyDescent="0.3">
      <c r="A847" s="825"/>
      <c r="B847" s="825"/>
      <c r="C847" s="825"/>
      <c r="D847" s="825"/>
      <c r="E847" s="825"/>
      <c r="F847" s="825"/>
      <c r="G847" s="825"/>
      <c r="H847" s="825"/>
      <c r="I847" s="825"/>
      <c r="J847" s="825"/>
      <c r="K847" s="825"/>
      <c r="L847" s="825"/>
      <c r="M847" s="825"/>
      <c r="N847" s="825"/>
      <c r="O847" s="825"/>
    </row>
    <row r="848" spans="1:15" ht="16.5" customHeight="1" x14ac:dyDescent="0.3">
      <c r="A848" s="825"/>
      <c r="B848" s="825"/>
      <c r="C848" s="825"/>
      <c r="D848" s="825"/>
      <c r="E848" s="825"/>
      <c r="F848" s="825"/>
      <c r="G848" s="825"/>
      <c r="H848" s="825"/>
      <c r="I848" s="825"/>
      <c r="J848" s="825"/>
      <c r="K848" s="825"/>
      <c r="L848" s="825"/>
      <c r="M848" s="825"/>
      <c r="N848" s="825"/>
      <c r="O848" s="825"/>
    </row>
    <row r="849" spans="1:15" ht="16.5" customHeight="1" x14ac:dyDescent="0.3">
      <c r="A849" s="825"/>
      <c r="B849" s="825"/>
      <c r="C849" s="825"/>
      <c r="D849" s="825"/>
      <c r="E849" s="825"/>
      <c r="F849" s="825"/>
      <c r="G849" s="825"/>
      <c r="H849" s="825"/>
      <c r="I849" s="825"/>
      <c r="J849" s="825"/>
      <c r="K849" s="825"/>
      <c r="L849" s="825"/>
      <c r="M849" s="825"/>
      <c r="N849" s="825"/>
      <c r="O849" s="825"/>
    </row>
    <row r="850" spans="1:15" ht="16.5" customHeight="1" x14ac:dyDescent="0.3">
      <c r="A850" s="825"/>
      <c r="B850" s="825"/>
      <c r="C850" s="825"/>
      <c r="D850" s="825"/>
      <c r="E850" s="825"/>
      <c r="F850" s="825"/>
      <c r="G850" s="825"/>
      <c r="H850" s="825"/>
      <c r="I850" s="825"/>
      <c r="J850" s="825"/>
      <c r="K850" s="825"/>
      <c r="L850" s="825"/>
      <c r="M850" s="825"/>
      <c r="N850" s="825"/>
      <c r="O850" s="825"/>
    </row>
    <row r="851" spans="1:15" ht="16.5" customHeight="1" x14ac:dyDescent="0.3">
      <c r="A851" s="825"/>
      <c r="B851" s="825"/>
      <c r="C851" s="825"/>
      <c r="D851" s="825"/>
      <c r="E851" s="825"/>
      <c r="F851" s="825"/>
      <c r="G851" s="825"/>
      <c r="H851" s="825"/>
      <c r="I851" s="825"/>
      <c r="J851" s="825"/>
      <c r="K851" s="825"/>
      <c r="L851" s="825"/>
      <c r="M851" s="825"/>
      <c r="N851" s="825"/>
      <c r="O851" s="825"/>
    </row>
    <row r="852" spans="1:15" ht="16.5" customHeight="1" x14ac:dyDescent="0.3">
      <c r="A852" s="825"/>
      <c r="B852" s="825"/>
      <c r="C852" s="825"/>
      <c r="D852" s="825"/>
      <c r="E852" s="825"/>
      <c r="F852" s="825"/>
      <c r="G852" s="825"/>
      <c r="H852" s="825"/>
      <c r="I852" s="825"/>
      <c r="J852" s="825"/>
      <c r="K852" s="825"/>
      <c r="L852" s="825"/>
      <c r="M852" s="825"/>
      <c r="N852" s="825"/>
      <c r="O852" s="825"/>
    </row>
    <row r="853" spans="1:15" ht="16.5" customHeight="1" x14ac:dyDescent="0.3">
      <c r="A853" s="825"/>
      <c r="B853" s="825"/>
      <c r="C853" s="825"/>
      <c r="D853" s="825"/>
      <c r="E853" s="825"/>
      <c r="F853" s="825"/>
      <c r="G853" s="825"/>
      <c r="H853" s="825"/>
      <c r="I853" s="825"/>
      <c r="J853" s="825"/>
      <c r="K853" s="825"/>
      <c r="L853" s="825"/>
      <c r="M853" s="825"/>
      <c r="N853" s="825"/>
      <c r="O853" s="825"/>
    </row>
    <row r="854" spans="1:15" ht="16.5" customHeight="1" x14ac:dyDescent="0.3">
      <c r="A854" s="825"/>
      <c r="B854" s="825"/>
      <c r="C854" s="825"/>
      <c r="D854" s="825"/>
      <c r="E854" s="825"/>
      <c r="F854" s="825"/>
      <c r="G854" s="825"/>
      <c r="H854" s="825"/>
      <c r="I854" s="825"/>
      <c r="J854" s="825"/>
      <c r="K854" s="825"/>
      <c r="L854" s="825"/>
      <c r="M854" s="825"/>
      <c r="N854" s="825"/>
      <c r="O854" s="825"/>
    </row>
    <row r="855" spans="1:15" ht="16.5" customHeight="1" x14ac:dyDescent="0.3">
      <c r="A855" s="825"/>
      <c r="B855" s="825"/>
      <c r="C855" s="825"/>
      <c r="D855" s="825"/>
      <c r="E855" s="825"/>
      <c r="F855" s="825"/>
      <c r="G855" s="825"/>
      <c r="H855" s="825"/>
      <c r="I855" s="825"/>
      <c r="J855" s="825"/>
      <c r="K855" s="825"/>
      <c r="L855" s="825"/>
      <c r="M855" s="825"/>
      <c r="N855" s="825"/>
      <c r="O855" s="825"/>
    </row>
    <row r="856" spans="1:15" ht="16.5" customHeight="1" x14ac:dyDescent="0.3">
      <c r="A856" s="825"/>
      <c r="B856" s="825"/>
      <c r="C856" s="825"/>
      <c r="D856" s="825"/>
      <c r="E856" s="825"/>
      <c r="F856" s="825"/>
      <c r="G856" s="825"/>
      <c r="H856" s="825"/>
      <c r="I856" s="825"/>
      <c r="J856" s="825"/>
      <c r="K856" s="825"/>
      <c r="L856" s="825"/>
      <c r="M856" s="825"/>
      <c r="N856" s="825"/>
      <c r="O856" s="825"/>
    </row>
    <row r="857" spans="1:15" ht="16.5" customHeight="1" x14ac:dyDescent="0.3">
      <c r="A857" s="825"/>
      <c r="B857" s="825"/>
      <c r="C857" s="825"/>
      <c r="D857" s="825"/>
      <c r="E857" s="825"/>
      <c r="F857" s="825"/>
      <c r="G857" s="825"/>
      <c r="H857" s="825"/>
      <c r="I857" s="825"/>
      <c r="J857" s="825"/>
      <c r="K857" s="825"/>
      <c r="L857" s="825"/>
      <c r="M857" s="825"/>
      <c r="N857" s="825"/>
      <c r="O857" s="825"/>
    </row>
    <row r="858" spans="1:15" ht="16.5" customHeight="1" x14ac:dyDescent="0.3">
      <c r="A858" s="825"/>
      <c r="B858" s="825"/>
      <c r="C858" s="825"/>
      <c r="D858" s="825"/>
      <c r="E858" s="825"/>
      <c r="F858" s="825"/>
      <c r="G858" s="825"/>
      <c r="H858" s="825"/>
      <c r="I858" s="825"/>
      <c r="J858" s="825"/>
      <c r="K858" s="825"/>
      <c r="L858" s="825"/>
      <c r="M858" s="825"/>
      <c r="N858" s="825"/>
      <c r="O858" s="825"/>
    </row>
    <row r="859" spans="1:15" ht="16.5" customHeight="1" x14ac:dyDescent="0.3">
      <c r="A859" s="825"/>
      <c r="B859" s="825"/>
      <c r="C859" s="825"/>
      <c r="D859" s="825"/>
      <c r="E859" s="825"/>
      <c r="F859" s="825"/>
      <c r="G859" s="825"/>
      <c r="H859" s="825"/>
      <c r="I859" s="825"/>
      <c r="J859" s="825"/>
      <c r="K859" s="825"/>
      <c r="L859" s="825"/>
      <c r="M859" s="825"/>
      <c r="N859" s="825"/>
      <c r="O859" s="825"/>
    </row>
    <row r="860" spans="1:15" ht="16.5" customHeight="1" x14ac:dyDescent="0.3">
      <c r="A860" s="825"/>
      <c r="B860" s="825"/>
      <c r="C860" s="825"/>
      <c r="D860" s="825"/>
      <c r="E860" s="825"/>
      <c r="F860" s="825"/>
      <c r="G860" s="825"/>
      <c r="H860" s="825"/>
      <c r="I860" s="825"/>
      <c r="J860" s="825"/>
      <c r="K860" s="825"/>
      <c r="L860" s="825"/>
      <c r="M860" s="825"/>
      <c r="N860" s="825"/>
      <c r="O860" s="825"/>
    </row>
    <row r="861" spans="1:15" ht="16.5" customHeight="1" x14ac:dyDescent="0.3">
      <c r="A861" s="825"/>
      <c r="B861" s="825"/>
      <c r="C861" s="825"/>
      <c r="D861" s="825"/>
      <c r="E861" s="825"/>
      <c r="F861" s="825"/>
      <c r="G861" s="825"/>
      <c r="H861" s="825"/>
      <c r="I861" s="825"/>
      <c r="J861" s="825"/>
      <c r="K861" s="825"/>
      <c r="L861" s="825"/>
      <c r="M861" s="825"/>
      <c r="N861" s="825"/>
      <c r="O861" s="825"/>
    </row>
    <row r="862" spans="1:15" ht="16.5" customHeight="1" x14ac:dyDescent="0.3">
      <c r="A862" s="825"/>
      <c r="B862" s="825"/>
      <c r="C862" s="825"/>
      <c r="D862" s="825"/>
      <c r="E862" s="825"/>
      <c r="F862" s="825"/>
      <c r="G862" s="825"/>
      <c r="H862" s="825"/>
      <c r="I862" s="825"/>
      <c r="J862" s="825"/>
      <c r="K862" s="825"/>
      <c r="L862" s="825"/>
      <c r="M862" s="825"/>
      <c r="N862" s="825"/>
      <c r="O862" s="825"/>
    </row>
    <row r="863" spans="1:15" ht="16.5" customHeight="1" x14ac:dyDescent="0.3">
      <c r="A863" s="825"/>
      <c r="B863" s="825"/>
      <c r="C863" s="825"/>
      <c r="D863" s="825"/>
      <c r="E863" s="825"/>
      <c r="F863" s="825"/>
      <c r="G863" s="825"/>
      <c r="H863" s="825"/>
      <c r="I863" s="825"/>
      <c r="J863" s="825"/>
      <c r="K863" s="825"/>
      <c r="L863" s="825"/>
      <c r="M863" s="825"/>
      <c r="N863" s="825"/>
      <c r="O863" s="825"/>
    </row>
    <row r="864" spans="1:15" ht="16.5" customHeight="1" x14ac:dyDescent="0.3">
      <c r="A864" s="825"/>
      <c r="B864" s="825"/>
      <c r="C864" s="825"/>
      <c r="D864" s="825"/>
      <c r="E864" s="825"/>
      <c r="F864" s="825"/>
      <c r="G864" s="825"/>
      <c r="H864" s="825"/>
      <c r="I864" s="825"/>
      <c r="J864" s="825"/>
      <c r="K864" s="825"/>
      <c r="L864" s="825"/>
      <c r="M864" s="825"/>
      <c r="N864" s="825"/>
      <c r="O864" s="825"/>
    </row>
    <row r="865" spans="1:15" ht="16.5" customHeight="1" x14ac:dyDescent="0.3">
      <c r="A865" s="825"/>
      <c r="B865" s="825"/>
      <c r="C865" s="825"/>
      <c r="D865" s="825"/>
      <c r="E865" s="825"/>
      <c r="F865" s="825"/>
      <c r="G865" s="825"/>
      <c r="H865" s="825"/>
      <c r="I865" s="825"/>
      <c r="J865" s="825"/>
      <c r="K865" s="825"/>
      <c r="L865" s="825"/>
      <c r="M865" s="825"/>
      <c r="N865" s="825"/>
      <c r="O865" s="825"/>
    </row>
    <row r="866" spans="1:15" ht="16.5" customHeight="1" x14ac:dyDescent="0.3">
      <c r="A866" s="825"/>
      <c r="B866" s="825"/>
      <c r="C866" s="825"/>
      <c r="D866" s="825"/>
      <c r="E866" s="825"/>
      <c r="F866" s="825"/>
      <c r="G866" s="825"/>
      <c r="H866" s="825"/>
      <c r="I866" s="825"/>
      <c r="J866" s="825"/>
      <c r="K866" s="825"/>
      <c r="L866" s="825"/>
      <c r="M866" s="825"/>
      <c r="N866" s="825"/>
      <c r="O866" s="825"/>
    </row>
    <row r="867" spans="1:15" ht="16.5" customHeight="1" x14ac:dyDescent="0.3">
      <c r="A867" s="825"/>
      <c r="B867" s="825"/>
      <c r="C867" s="825"/>
      <c r="D867" s="825"/>
      <c r="E867" s="825"/>
      <c r="F867" s="825"/>
      <c r="G867" s="825"/>
      <c r="H867" s="825"/>
      <c r="I867" s="825"/>
      <c r="J867" s="825"/>
      <c r="K867" s="825"/>
      <c r="L867" s="825"/>
      <c r="M867" s="825"/>
      <c r="N867" s="825"/>
      <c r="O867" s="825"/>
    </row>
    <row r="868" spans="1:15" ht="16.5" customHeight="1" x14ac:dyDescent="0.3">
      <c r="A868" s="825"/>
      <c r="B868" s="825"/>
      <c r="C868" s="825"/>
      <c r="D868" s="825"/>
      <c r="E868" s="825"/>
      <c r="F868" s="825"/>
      <c r="G868" s="825"/>
      <c r="H868" s="825"/>
      <c r="I868" s="825"/>
      <c r="J868" s="825"/>
      <c r="K868" s="825"/>
      <c r="L868" s="825"/>
      <c r="M868" s="825"/>
      <c r="N868" s="825"/>
      <c r="O868" s="825"/>
    </row>
    <row r="869" spans="1:15" ht="16.5" customHeight="1" x14ac:dyDescent="0.3">
      <c r="A869" s="825"/>
      <c r="B869" s="825"/>
      <c r="C869" s="825"/>
      <c r="D869" s="825"/>
      <c r="E869" s="825"/>
      <c r="F869" s="825"/>
      <c r="G869" s="825"/>
      <c r="H869" s="825"/>
      <c r="I869" s="825"/>
      <c r="J869" s="825"/>
      <c r="K869" s="825"/>
      <c r="L869" s="825"/>
      <c r="M869" s="825"/>
      <c r="N869" s="825"/>
      <c r="O869" s="825"/>
    </row>
    <row r="870" spans="1:15" ht="16.5" customHeight="1" x14ac:dyDescent="0.3">
      <c r="A870" s="825"/>
      <c r="B870" s="825"/>
      <c r="C870" s="825"/>
      <c r="D870" s="825"/>
      <c r="E870" s="825"/>
      <c r="F870" s="825"/>
      <c r="G870" s="825"/>
      <c r="H870" s="825"/>
      <c r="I870" s="825"/>
      <c r="J870" s="825"/>
      <c r="K870" s="825"/>
      <c r="L870" s="825"/>
      <c r="M870" s="825"/>
      <c r="N870" s="825"/>
      <c r="O870" s="825"/>
    </row>
    <row r="871" spans="1:15" ht="16.5" customHeight="1" x14ac:dyDescent="0.3">
      <c r="A871" s="825"/>
      <c r="B871" s="825"/>
      <c r="C871" s="825"/>
      <c r="D871" s="825"/>
      <c r="E871" s="825"/>
      <c r="F871" s="825"/>
      <c r="G871" s="825"/>
      <c r="H871" s="825"/>
      <c r="I871" s="825"/>
      <c r="J871" s="825"/>
      <c r="K871" s="825"/>
      <c r="L871" s="825"/>
      <c r="M871" s="825"/>
      <c r="N871" s="825"/>
      <c r="O871" s="825"/>
    </row>
    <row r="872" spans="1:15" ht="16.5" customHeight="1" x14ac:dyDescent="0.3">
      <c r="A872" s="825"/>
      <c r="B872" s="825"/>
      <c r="C872" s="825"/>
      <c r="D872" s="825"/>
      <c r="E872" s="825"/>
      <c r="F872" s="825"/>
      <c r="G872" s="825"/>
      <c r="H872" s="825"/>
      <c r="I872" s="825"/>
      <c r="J872" s="825"/>
      <c r="K872" s="825"/>
      <c r="L872" s="825"/>
      <c r="M872" s="825"/>
      <c r="N872" s="825"/>
      <c r="O872" s="825"/>
    </row>
    <row r="873" spans="1:15" ht="16.5" customHeight="1" x14ac:dyDescent="0.3">
      <c r="A873" s="825"/>
      <c r="B873" s="825"/>
      <c r="C873" s="825"/>
      <c r="D873" s="825"/>
      <c r="E873" s="825"/>
      <c r="F873" s="825"/>
      <c r="G873" s="825"/>
      <c r="H873" s="825"/>
      <c r="I873" s="825"/>
      <c r="J873" s="825"/>
      <c r="K873" s="825"/>
      <c r="L873" s="825"/>
      <c r="M873" s="825"/>
      <c r="N873" s="825"/>
      <c r="O873" s="825"/>
    </row>
    <row r="874" spans="1:15" ht="16.5" customHeight="1" x14ac:dyDescent="0.3">
      <c r="A874" s="825"/>
      <c r="B874" s="825"/>
      <c r="C874" s="825"/>
      <c r="D874" s="825"/>
      <c r="E874" s="825"/>
      <c r="F874" s="825"/>
      <c r="G874" s="825"/>
      <c r="H874" s="825"/>
      <c r="I874" s="825"/>
      <c r="J874" s="825"/>
      <c r="K874" s="825"/>
      <c r="L874" s="825"/>
      <c r="M874" s="825"/>
      <c r="N874" s="825"/>
      <c r="O874" s="825"/>
    </row>
    <row r="875" spans="1:15" ht="16.5" customHeight="1" x14ac:dyDescent="0.3">
      <c r="A875" s="825"/>
      <c r="B875" s="825"/>
      <c r="C875" s="825"/>
      <c r="D875" s="825"/>
      <c r="E875" s="825"/>
      <c r="F875" s="825"/>
      <c r="G875" s="825"/>
      <c r="H875" s="825"/>
      <c r="I875" s="825"/>
      <c r="J875" s="825"/>
      <c r="K875" s="825"/>
      <c r="L875" s="825"/>
      <c r="M875" s="825"/>
      <c r="N875" s="825"/>
      <c r="O875" s="825"/>
    </row>
    <row r="876" spans="1:15" ht="16.5" customHeight="1" x14ac:dyDescent="0.3">
      <c r="A876" s="825"/>
      <c r="B876" s="825"/>
      <c r="C876" s="825"/>
      <c r="D876" s="825"/>
      <c r="E876" s="825"/>
      <c r="F876" s="825"/>
      <c r="G876" s="825"/>
      <c r="H876" s="825"/>
      <c r="I876" s="825"/>
      <c r="J876" s="825"/>
      <c r="K876" s="825"/>
      <c r="L876" s="825"/>
      <c r="M876" s="825"/>
      <c r="N876" s="825"/>
      <c r="O876" s="825"/>
    </row>
    <row r="877" spans="1:15" ht="16.5" customHeight="1" x14ac:dyDescent="0.3">
      <c r="A877" s="825"/>
      <c r="B877" s="825"/>
      <c r="C877" s="825"/>
      <c r="D877" s="825"/>
      <c r="E877" s="825"/>
      <c r="F877" s="825"/>
      <c r="G877" s="825"/>
      <c r="H877" s="825"/>
      <c r="I877" s="825"/>
      <c r="J877" s="825"/>
      <c r="K877" s="825"/>
      <c r="L877" s="825"/>
      <c r="M877" s="825"/>
      <c r="N877" s="825"/>
      <c r="O877" s="825"/>
    </row>
    <row r="878" spans="1:15" ht="16.5" customHeight="1" x14ac:dyDescent="0.3">
      <c r="A878" s="825"/>
      <c r="B878" s="825"/>
      <c r="C878" s="825"/>
      <c r="D878" s="825"/>
      <c r="E878" s="825"/>
      <c r="F878" s="825"/>
      <c r="G878" s="825"/>
      <c r="H878" s="825"/>
      <c r="I878" s="825"/>
      <c r="J878" s="825"/>
      <c r="K878" s="825"/>
      <c r="L878" s="825"/>
      <c r="M878" s="825"/>
      <c r="N878" s="825"/>
      <c r="O878" s="825"/>
    </row>
    <row r="879" spans="1:15" ht="16.5" customHeight="1" x14ac:dyDescent="0.3">
      <c r="A879" s="825"/>
      <c r="B879" s="825"/>
      <c r="C879" s="825"/>
      <c r="D879" s="825"/>
      <c r="E879" s="825"/>
      <c r="F879" s="825"/>
      <c r="G879" s="825"/>
      <c r="H879" s="825"/>
      <c r="I879" s="825"/>
      <c r="J879" s="825"/>
      <c r="K879" s="825"/>
      <c r="L879" s="825"/>
      <c r="M879" s="825"/>
      <c r="N879" s="825"/>
      <c r="O879" s="825"/>
    </row>
    <row r="880" spans="1:15" ht="16.5" customHeight="1" x14ac:dyDescent="0.3">
      <c r="A880" s="825"/>
      <c r="B880" s="825"/>
      <c r="C880" s="825"/>
      <c r="D880" s="825"/>
      <c r="E880" s="825"/>
      <c r="F880" s="825"/>
      <c r="G880" s="825"/>
      <c r="H880" s="825"/>
      <c r="I880" s="825"/>
      <c r="J880" s="825"/>
      <c r="K880" s="825"/>
      <c r="L880" s="825"/>
      <c r="M880" s="825"/>
      <c r="N880" s="825"/>
      <c r="O880" s="825"/>
    </row>
    <row r="881" spans="1:15" ht="16.5" customHeight="1" x14ac:dyDescent="0.3">
      <c r="A881" s="825"/>
      <c r="B881" s="825"/>
      <c r="C881" s="825"/>
      <c r="D881" s="825"/>
      <c r="E881" s="825"/>
      <c r="F881" s="825"/>
      <c r="G881" s="825"/>
      <c r="H881" s="825"/>
      <c r="I881" s="825"/>
      <c r="J881" s="825"/>
      <c r="K881" s="825"/>
      <c r="L881" s="825"/>
      <c r="M881" s="825"/>
      <c r="N881" s="825"/>
      <c r="O881" s="825"/>
    </row>
    <row r="882" spans="1:15" ht="16.5" customHeight="1" x14ac:dyDescent="0.3">
      <c r="A882" s="825"/>
      <c r="B882" s="825"/>
      <c r="C882" s="825"/>
      <c r="D882" s="825"/>
      <c r="E882" s="825"/>
      <c r="F882" s="825"/>
      <c r="G882" s="825"/>
      <c r="H882" s="825"/>
      <c r="I882" s="825"/>
      <c r="J882" s="825"/>
      <c r="K882" s="825"/>
      <c r="L882" s="825"/>
      <c r="M882" s="825"/>
      <c r="N882" s="825"/>
      <c r="O882" s="825"/>
    </row>
    <row r="883" spans="1:15" ht="16.5" customHeight="1" x14ac:dyDescent="0.3">
      <c r="A883" s="825"/>
      <c r="B883" s="825"/>
      <c r="C883" s="825"/>
      <c r="D883" s="825"/>
      <c r="E883" s="825"/>
      <c r="F883" s="825"/>
      <c r="G883" s="825"/>
      <c r="H883" s="825"/>
      <c r="I883" s="825"/>
      <c r="J883" s="825"/>
      <c r="K883" s="825"/>
      <c r="L883" s="825"/>
      <c r="M883" s="825"/>
      <c r="N883" s="825"/>
      <c r="O883" s="825"/>
    </row>
    <row r="884" spans="1:15" ht="16.5" customHeight="1" x14ac:dyDescent="0.3">
      <c r="A884" s="825"/>
      <c r="B884" s="825"/>
      <c r="C884" s="825"/>
      <c r="D884" s="825"/>
      <c r="E884" s="825"/>
      <c r="F884" s="825"/>
      <c r="G884" s="825"/>
      <c r="H884" s="825"/>
      <c r="I884" s="825"/>
      <c r="J884" s="825"/>
      <c r="K884" s="825"/>
      <c r="L884" s="825"/>
      <c r="M884" s="825"/>
      <c r="N884" s="825"/>
      <c r="O884" s="825"/>
    </row>
    <row r="885" spans="1:15" ht="16.5" customHeight="1" x14ac:dyDescent="0.3">
      <c r="A885" s="825"/>
      <c r="B885" s="825"/>
      <c r="C885" s="825"/>
      <c r="D885" s="825"/>
      <c r="E885" s="825"/>
      <c r="F885" s="825"/>
      <c r="G885" s="825"/>
      <c r="H885" s="825"/>
      <c r="I885" s="825"/>
      <c r="J885" s="825"/>
      <c r="K885" s="825"/>
      <c r="L885" s="825"/>
      <c r="M885" s="825"/>
      <c r="N885" s="825"/>
      <c r="O885" s="825"/>
    </row>
    <row r="886" spans="1:15" ht="16.5" customHeight="1" x14ac:dyDescent="0.3">
      <c r="A886" s="825"/>
      <c r="B886" s="825"/>
      <c r="C886" s="825"/>
      <c r="D886" s="825"/>
      <c r="E886" s="825"/>
      <c r="F886" s="825"/>
      <c r="G886" s="825"/>
      <c r="H886" s="825"/>
      <c r="I886" s="825"/>
      <c r="J886" s="825"/>
      <c r="K886" s="825"/>
      <c r="L886" s="825"/>
      <c r="M886" s="825"/>
      <c r="N886" s="825"/>
      <c r="O886" s="825"/>
    </row>
    <row r="887" spans="1:15" ht="16.5" customHeight="1" x14ac:dyDescent="0.3">
      <c r="A887" s="825"/>
      <c r="B887" s="825"/>
      <c r="C887" s="825"/>
      <c r="D887" s="825"/>
      <c r="E887" s="825"/>
      <c r="F887" s="825"/>
      <c r="G887" s="825"/>
      <c r="H887" s="825"/>
      <c r="I887" s="825"/>
      <c r="J887" s="825"/>
      <c r="K887" s="825"/>
      <c r="L887" s="825"/>
      <c r="M887" s="825"/>
      <c r="N887" s="825"/>
      <c r="O887" s="825"/>
    </row>
    <row r="888" spans="1:15" ht="16.5" customHeight="1" x14ac:dyDescent="0.3">
      <c r="A888" s="825"/>
      <c r="B888" s="825"/>
      <c r="C888" s="825"/>
      <c r="D888" s="825"/>
      <c r="E888" s="825"/>
      <c r="F888" s="825"/>
      <c r="G888" s="825"/>
      <c r="H888" s="825"/>
      <c r="I888" s="825"/>
      <c r="J888" s="825"/>
      <c r="K888" s="825"/>
      <c r="L888" s="825"/>
      <c r="M888" s="825"/>
      <c r="N888" s="825"/>
      <c r="O888" s="825"/>
    </row>
    <row r="889" spans="1:15" ht="16.5" customHeight="1" x14ac:dyDescent="0.3">
      <c r="A889" s="825"/>
      <c r="B889" s="825"/>
      <c r="C889" s="825"/>
      <c r="D889" s="825"/>
      <c r="E889" s="825"/>
      <c r="F889" s="825"/>
      <c r="G889" s="825"/>
      <c r="H889" s="825"/>
      <c r="I889" s="825"/>
      <c r="J889" s="825"/>
      <c r="K889" s="825"/>
      <c r="L889" s="825"/>
      <c r="M889" s="825"/>
      <c r="N889" s="825"/>
      <c r="O889" s="825"/>
    </row>
    <row r="890" spans="1:15" ht="16.5" customHeight="1" x14ac:dyDescent="0.3">
      <c r="A890" s="825"/>
      <c r="B890" s="825"/>
      <c r="C890" s="825"/>
      <c r="D890" s="825"/>
      <c r="E890" s="825"/>
      <c r="F890" s="825"/>
      <c r="G890" s="825"/>
      <c r="H890" s="825"/>
      <c r="I890" s="825"/>
      <c r="J890" s="825"/>
      <c r="K890" s="825"/>
      <c r="L890" s="825"/>
      <c r="M890" s="825"/>
      <c r="N890" s="825"/>
      <c r="O890" s="825"/>
    </row>
    <row r="891" spans="1:15" ht="16.5" customHeight="1" x14ac:dyDescent="0.3">
      <c r="A891" s="825"/>
      <c r="B891" s="825"/>
      <c r="C891" s="825"/>
      <c r="D891" s="825"/>
      <c r="E891" s="825"/>
      <c r="F891" s="825"/>
      <c r="G891" s="825"/>
      <c r="H891" s="825"/>
      <c r="I891" s="825"/>
      <c r="J891" s="825"/>
      <c r="K891" s="825"/>
      <c r="L891" s="825"/>
      <c r="M891" s="825"/>
      <c r="N891" s="825"/>
      <c r="O891" s="825"/>
    </row>
    <row r="892" spans="1:15" ht="16.5" customHeight="1" x14ac:dyDescent="0.3">
      <c r="A892" s="825"/>
      <c r="B892" s="825"/>
      <c r="C892" s="825"/>
      <c r="D892" s="825"/>
      <c r="E892" s="825"/>
      <c r="F892" s="825"/>
      <c r="G892" s="825"/>
      <c r="H892" s="825"/>
      <c r="I892" s="825"/>
      <c r="J892" s="825"/>
      <c r="K892" s="825"/>
      <c r="L892" s="825"/>
      <c r="M892" s="825"/>
      <c r="N892" s="825"/>
      <c r="O892" s="825"/>
    </row>
    <row r="893" spans="1:15" ht="16.5" customHeight="1" x14ac:dyDescent="0.3">
      <c r="A893" s="825"/>
      <c r="B893" s="825"/>
      <c r="C893" s="825"/>
      <c r="D893" s="825"/>
      <c r="E893" s="825"/>
      <c r="F893" s="825"/>
      <c r="G893" s="825"/>
      <c r="H893" s="825"/>
      <c r="I893" s="825"/>
      <c r="J893" s="825"/>
      <c r="K893" s="825"/>
      <c r="L893" s="825"/>
      <c r="M893" s="825"/>
      <c r="N893" s="825"/>
      <c r="O893" s="825"/>
    </row>
    <row r="894" spans="1:15" ht="16.5" customHeight="1" x14ac:dyDescent="0.3">
      <c r="A894" s="825"/>
      <c r="B894" s="825"/>
      <c r="C894" s="825"/>
      <c r="D894" s="825"/>
      <c r="E894" s="825"/>
      <c r="F894" s="825"/>
      <c r="G894" s="825"/>
      <c r="H894" s="825"/>
      <c r="I894" s="825"/>
      <c r="J894" s="825"/>
      <c r="K894" s="825"/>
      <c r="L894" s="825"/>
      <c r="M894" s="825"/>
      <c r="N894" s="825"/>
      <c r="O894" s="825"/>
    </row>
    <row r="895" spans="1:15" ht="16.5" customHeight="1" x14ac:dyDescent="0.3">
      <c r="A895" s="825"/>
      <c r="B895" s="825"/>
      <c r="C895" s="825"/>
      <c r="D895" s="825"/>
      <c r="E895" s="825"/>
      <c r="F895" s="825"/>
      <c r="G895" s="825"/>
      <c r="H895" s="825"/>
      <c r="I895" s="825"/>
      <c r="J895" s="825"/>
      <c r="K895" s="825"/>
      <c r="L895" s="825"/>
      <c r="M895" s="825"/>
      <c r="N895" s="825"/>
      <c r="O895" s="825"/>
    </row>
    <row r="896" spans="1:15" ht="16.5" customHeight="1" x14ac:dyDescent="0.3">
      <c r="A896" s="825"/>
      <c r="B896" s="825"/>
      <c r="C896" s="825"/>
      <c r="D896" s="825"/>
      <c r="E896" s="825"/>
      <c r="F896" s="825"/>
      <c r="G896" s="825"/>
      <c r="H896" s="825"/>
      <c r="I896" s="825"/>
      <c r="J896" s="825"/>
      <c r="K896" s="825"/>
      <c r="L896" s="825"/>
      <c r="M896" s="825"/>
      <c r="N896" s="825"/>
      <c r="O896" s="825"/>
    </row>
    <row r="897" spans="1:15" ht="16.5" customHeight="1" x14ac:dyDescent="0.3">
      <c r="A897" s="825"/>
      <c r="B897" s="825"/>
      <c r="C897" s="825"/>
      <c r="D897" s="825"/>
      <c r="E897" s="825"/>
      <c r="F897" s="825"/>
      <c r="G897" s="825"/>
      <c r="H897" s="825"/>
      <c r="I897" s="825"/>
      <c r="J897" s="825"/>
      <c r="K897" s="825"/>
      <c r="L897" s="825"/>
      <c r="M897" s="825"/>
      <c r="N897" s="825"/>
      <c r="O897" s="825"/>
    </row>
    <row r="898" spans="1:15" ht="16.5" customHeight="1" x14ac:dyDescent="0.3">
      <c r="A898" s="825"/>
      <c r="B898" s="825"/>
      <c r="C898" s="825"/>
      <c r="D898" s="825"/>
      <c r="E898" s="825"/>
      <c r="F898" s="825"/>
      <c r="G898" s="825"/>
      <c r="H898" s="825"/>
      <c r="I898" s="825"/>
      <c r="J898" s="825"/>
      <c r="K898" s="825"/>
      <c r="L898" s="825"/>
      <c r="M898" s="825"/>
      <c r="N898" s="825"/>
      <c r="O898" s="825"/>
    </row>
    <row r="899" spans="1:15" ht="16.5" customHeight="1" x14ac:dyDescent="0.3">
      <c r="A899" s="825"/>
      <c r="B899" s="825"/>
      <c r="C899" s="825"/>
      <c r="D899" s="825"/>
      <c r="E899" s="825"/>
      <c r="F899" s="825"/>
      <c r="G899" s="825"/>
      <c r="H899" s="825"/>
      <c r="I899" s="825"/>
      <c r="J899" s="825"/>
      <c r="K899" s="825"/>
      <c r="L899" s="825"/>
      <c r="M899" s="825"/>
      <c r="N899" s="825"/>
      <c r="O899" s="825"/>
    </row>
    <row r="900" spans="1:15" ht="16.5" customHeight="1" x14ac:dyDescent="0.3">
      <c r="A900" s="825"/>
      <c r="B900" s="825"/>
      <c r="C900" s="825"/>
      <c r="D900" s="825"/>
      <c r="E900" s="825"/>
      <c r="F900" s="825"/>
      <c r="G900" s="825"/>
      <c r="H900" s="825"/>
      <c r="I900" s="825"/>
      <c r="J900" s="825"/>
      <c r="K900" s="825"/>
      <c r="L900" s="825"/>
      <c r="M900" s="825"/>
      <c r="N900" s="825"/>
      <c r="O900" s="825"/>
    </row>
    <row r="901" spans="1:15" ht="16.5" customHeight="1" x14ac:dyDescent="0.3">
      <c r="A901" s="825"/>
      <c r="B901" s="825"/>
      <c r="C901" s="825"/>
      <c r="D901" s="825"/>
      <c r="E901" s="825"/>
      <c r="F901" s="825"/>
      <c r="G901" s="825"/>
      <c r="H901" s="825"/>
      <c r="I901" s="825"/>
      <c r="J901" s="825"/>
      <c r="K901" s="825"/>
      <c r="L901" s="825"/>
      <c r="M901" s="825"/>
      <c r="N901" s="825"/>
      <c r="O901" s="825"/>
    </row>
    <row r="902" spans="1:15" ht="16.5" customHeight="1" x14ac:dyDescent="0.3">
      <c r="A902" s="825"/>
      <c r="B902" s="825"/>
      <c r="C902" s="825"/>
      <c r="D902" s="825"/>
      <c r="E902" s="825"/>
      <c r="F902" s="825"/>
      <c r="G902" s="825"/>
      <c r="H902" s="825"/>
      <c r="I902" s="825"/>
      <c r="J902" s="825"/>
      <c r="K902" s="825"/>
      <c r="L902" s="825"/>
      <c r="M902" s="825"/>
      <c r="N902" s="825"/>
      <c r="O902" s="825"/>
    </row>
    <row r="903" spans="1:15" ht="16.5" customHeight="1" x14ac:dyDescent="0.3">
      <c r="A903" s="825"/>
      <c r="B903" s="825"/>
      <c r="C903" s="825"/>
      <c r="D903" s="825"/>
      <c r="E903" s="825"/>
      <c r="F903" s="825"/>
      <c r="G903" s="825"/>
      <c r="H903" s="825"/>
      <c r="I903" s="825"/>
      <c r="J903" s="825"/>
      <c r="K903" s="825"/>
      <c r="L903" s="825"/>
      <c r="M903" s="825"/>
      <c r="N903" s="825"/>
      <c r="O903" s="825"/>
    </row>
    <row r="904" spans="1:15" ht="16.5" customHeight="1" x14ac:dyDescent="0.3">
      <c r="A904" s="825"/>
      <c r="B904" s="825"/>
      <c r="C904" s="825"/>
      <c r="D904" s="825"/>
      <c r="E904" s="825"/>
      <c r="F904" s="825"/>
      <c r="G904" s="825"/>
      <c r="H904" s="825"/>
      <c r="I904" s="825"/>
      <c r="J904" s="825"/>
      <c r="K904" s="825"/>
      <c r="L904" s="825"/>
      <c r="M904" s="825"/>
      <c r="N904" s="825"/>
      <c r="O904" s="825"/>
    </row>
    <row r="905" spans="1:15" ht="16.5" customHeight="1" x14ac:dyDescent="0.3">
      <c r="A905" s="825"/>
      <c r="B905" s="825"/>
      <c r="C905" s="825"/>
      <c r="D905" s="825"/>
      <c r="E905" s="825"/>
      <c r="F905" s="825"/>
      <c r="G905" s="825"/>
      <c r="H905" s="825"/>
      <c r="I905" s="825"/>
      <c r="J905" s="825"/>
      <c r="K905" s="825"/>
      <c r="L905" s="825"/>
      <c r="M905" s="825"/>
      <c r="N905" s="825"/>
      <c r="O905" s="825"/>
    </row>
    <row r="906" spans="1:15" ht="16.5" customHeight="1" x14ac:dyDescent="0.3">
      <c r="A906" s="825"/>
      <c r="B906" s="825"/>
      <c r="C906" s="825"/>
      <c r="D906" s="825"/>
      <c r="E906" s="825"/>
      <c r="F906" s="825"/>
      <c r="G906" s="825"/>
      <c r="H906" s="825"/>
      <c r="I906" s="825"/>
      <c r="J906" s="825"/>
      <c r="K906" s="825"/>
      <c r="L906" s="825"/>
      <c r="M906" s="825"/>
      <c r="N906" s="825"/>
      <c r="O906" s="825"/>
    </row>
    <row r="907" spans="1:15" ht="16.5" customHeight="1" x14ac:dyDescent="0.3">
      <c r="A907" s="825"/>
      <c r="B907" s="825"/>
      <c r="C907" s="825"/>
      <c r="D907" s="825"/>
      <c r="E907" s="825"/>
      <c r="F907" s="825"/>
      <c r="G907" s="825"/>
      <c r="H907" s="825"/>
      <c r="I907" s="825"/>
      <c r="J907" s="825"/>
      <c r="K907" s="825"/>
      <c r="L907" s="825"/>
      <c r="M907" s="825"/>
      <c r="N907" s="825"/>
      <c r="O907" s="825"/>
    </row>
    <row r="908" spans="1:15" ht="16.5" customHeight="1" x14ac:dyDescent="0.3">
      <c r="A908" s="825"/>
      <c r="B908" s="825"/>
      <c r="C908" s="825"/>
      <c r="D908" s="825"/>
      <c r="E908" s="825"/>
      <c r="F908" s="825"/>
      <c r="G908" s="825"/>
      <c r="H908" s="825"/>
      <c r="I908" s="825"/>
      <c r="J908" s="825"/>
      <c r="K908" s="825"/>
      <c r="L908" s="825"/>
      <c r="M908" s="825"/>
      <c r="N908" s="825"/>
      <c r="O908" s="825"/>
    </row>
    <row r="909" spans="1:15" ht="16.5" customHeight="1" x14ac:dyDescent="0.3">
      <c r="A909" s="825"/>
      <c r="B909" s="825"/>
      <c r="C909" s="825"/>
      <c r="D909" s="825"/>
      <c r="E909" s="825"/>
      <c r="F909" s="825"/>
      <c r="G909" s="825"/>
      <c r="H909" s="825"/>
      <c r="I909" s="825"/>
      <c r="J909" s="825"/>
      <c r="K909" s="825"/>
      <c r="L909" s="825"/>
      <c r="M909" s="825"/>
      <c r="N909" s="825"/>
      <c r="O909" s="825"/>
    </row>
    <row r="910" spans="1:15" ht="16.5" customHeight="1" x14ac:dyDescent="0.3">
      <c r="A910" s="825"/>
      <c r="B910" s="825"/>
      <c r="C910" s="825"/>
      <c r="D910" s="825"/>
      <c r="E910" s="825"/>
      <c r="F910" s="825"/>
      <c r="G910" s="825"/>
      <c r="H910" s="825"/>
      <c r="I910" s="825"/>
      <c r="J910" s="825"/>
      <c r="K910" s="825"/>
      <c r="L910" s="825"/>
      <c r="M910" s="825"/>
      <c r="N910" s="825"/>
      <c r="O910" s="825"/>
    </row>
    <row r="911" spans="1:15" ht="16.5" customHeight="1" x14ac:dyDescent="0.3">
      <c r="A911" s="825"/>
      <c r="B911" s="825"/>
      <c r="C911" s="825"/>
      <c r="D911" s="825"/>
      <c r="E911" s="825"/>
      <c r="F911" s="825"/>
      <c r="G911" s="825"/>
      <c r="H911" s="825"/>
      <c r="I911" s="825"/>
      <c r="J911" s="825"/>
      <c r="K911" s="825"/>
      <c r="L911" s="825"/>
      <c r="M911" s="825"/>
      <c r="N911" s="825"/>
      <c r="O911" s="825"/>
    </row>
    <row r="912" spans="1:15" ht="16.5" customHeight="1" x14ac:dyDescent="0.3">
      <c r="A912" s="825"/>
      <c r="B912" s="825"/>
      <c r="C912" s="825"/>
      <c r="D912" s="825"/>
      <c r="E912" s="825"/>
      <c r="F912" s="825"/>
      <c r="G912" s="825"/>
      <c r="H912" s="825"/>
      <c r="I912" s="825"/>
      <c r="J912" s="825"/>
      <c r="K912" s="825"/>
      <c r="L912" s="825"/>
      <c r="M912" s="825"/>
      <c r="N912" s="825"/>
      <c r="O912" s="825"/>
    </row>
    <row r="913" spans="1:15" ht="16.5" customHeight="1" x14ac:dyDescent="0.3">
      <c r="A913" s="825"/>
      <c r="B913" s="825"/>
      <c r="C913" s="825"/>
      <c r="D913" s="825"/>
      <c r="E913" s="825"/>
      <c r="F913" s="825"/>
      <c r="G913" s="825"/>
      <c r="H913" s="825"/>
      <c r="I913" s="825"/>
      <c r="J913" s="825"/>
      <c r="K913" s="825"/>
      <c r="L913" s="825"/>
      <c r="M913" s="825"/>
      <c r="N913" s="825"/>
      <c r="O913" s="825"/>
    </row>
    <row r="914" spans="1:15" ht="16.5" customHeight="1" x14ac:dyDescent="0.3">
      <c r="A914" s="825"/>
      <c r="B914" s="825"/>
      <c r="C914" s="825"/>
      <c r="D914" s="825"/>
      <c r="E914" s="825"/>
      <c r="F914" s="825"/>
      <c r="G914" s="825"/>
      <c r="H914" s="825"/>
      <c r="I914" s="825"/>
      <c r="J914" s="825"/>
      <c r="K914" s="825"/>
      <c r="L914" s="825"/>
      <c r="M914" s="825"/>
      <c r="N914" s="825"/>
      <c r="O914" s="825"/>
    </row>
    <row r="915" spans="1:15" ht="16.5" customHeight="1" x14ac:dyDescent="0.3">
      <c r="A915" s="825"/>
      <c r="B915" s="825"/>
      <c r="C915" s="825"/>
      <c r="D915" s="825"/>
      <c r="E915" s="825"/>
      <c r="F915" s="825"/>
      <c r="G915" s="825"/>
      <c r="H915" s="825"/>
      <c r="I915" s="825"/>
      <c r="J915" s="825"/>
      <c r="K915" s="825"/>
      <c r="L915" s="825"/>
      <c r="M915" s="825"/>
      <c r="N915" s="825"/>
      <c r="O915" s="825"/>
    </row>
    <row r="916" spans="1:15" ht="16.5" customHeight="1" x14ac:dyDescent="0.3">
      <c r="A916" s="825"/>
      <c r="B916" s="825"/>
      <c r="C916" s="825"/>
      <c r="D916" s="825"/>
      <c r="E916" s="825"/>
      <c r="F916" s="825"/>
      <c r="G916" s="825"/>
      <c r="H916" s="825"/>
      <c r="I916" s="825"/>
      <c r="J916" s="825"/>
      <c r="K916" s="825"/>
      <c r="L916" s="825"/>
      <c r="M916" s="825"/>
      <c r="N916" s="825"/>
      <c r="O916" s="825"/>
    </row>
    <row r="917" spans="1:15" ht="16.5" customHeight="1" x14ac:dyDescent="0.3">
      <c r="A917" s="825"/>
      <c r="B917" s="825"/>
      <c r="C917" s="825"/>
      <c r="D917" s="825"/>
      <c r="E917" s="825"/>
      <c r="F917" s="825"/>
      <c r="G917" s="825"/>
      <c r="H917" s="825"/>
      <c r="I917" s="825"/>
      <c r="J917" s="825"/>
      <c r="K917" s="825"/>
      <c r="L917" s="825"/>
      <c r="M917" s="825"/>
      <c r="N917" s="825"/>
      <c r="O917" s="825"/>
    </row>
    <row r="918" spans="1:15" ht="16.5" customHeight="1" x14ac:dyDescent="0.3">
      <c r="A918" s="825"/>
      <c r="B918" s="825"/>
      <c r="C918" s="825"/>
      <c r="D918" s="825"/>
      <c r="E918" s="825"/>
      <c r="F918" s="825"/>
      <c r="G918" s="825"/>
      <c r="H918" s="825"/>
      <c r="I918" s="825"/>
      <c r="J918" s="825"/>
      <c r="K918" s="825"/>
      <c r="L918" s="825"/>
      <c r="M918" s="825"/>
      <c r="N918" s="825"/>
      <c r="O918" s="825"/>
    </row>
    <row r="919" spans="1:15" ht="16.5" customHeight="1" x14ac:dyDescent="0.3">
      <c r="A919" s="825"/>
      <c r="B919" s="825"/>
      <c r="C919" s="825"/>
      <c r="D919" s="825"/>
      <c r="E919" s="825"/>
      <c r="F919" s="825"/>
      <c r="G919" s="825"/>
      <c r="H919" s="825"/>
      <c r="I919" s="825"/>
      <c r="J919" s="825"/>
      <c r="K919" s="825"/>
      <c r="L919" s="825"/>
      <c r="M919" s="825"/>
      <c r="N919" s="825"/>
      <c r="O919" s="825"/>
    </row>
    <row r="920" spans="1:15" ht="16.5" customHeight="1" x14ac:dyDescent="0.3">
      <c r="A920" s="825"/>
      <c r="B920" s="825"/>
      <c r="C920" s="825"/>
      <c r="D920" s="825"/>
      <c r="E920" s="825"/>
      <c r="F920" s="825"/>
      <c r="G920" s="825"/>
      <c r="H920" s="825"/>
      <c r="I920" s="825"/>
      <c r="J920" s="825"/>
      <c r="K920" s="825"/>
      <c r="L920" s="825"/>
      <c r="M920" s="825"/>
      <c r="N920" s="825"/>
      <c r="O920" s="825"/>
    </row>
    <row r="921" spans="1:15" ht="16.5" customHeight="1" x14ac:dyDescent="0.3">
      <c r="A921" s="825"/>
      <c r="B921" s="825"/>
      <c r="C921" s="825"/>
      <c r="D921" s="825"/>
      <c r="E921" s="825"/>
      <c r="F921" s="825"/>
      <c r="G921" s="825"/>
      <c r="H921" s="825"/>
      <c r="I921" s="825"/>
      <c r="J921" s="825"/>
      <c r="K921" s="825"/>
      <c r="L921" s="825"/>
      <c r="M921" s="825"/>
      <c r="N921" s="825"/>
      <c r="O921" s="825"/>
    </row>
    <row r="922" spans="1:15" ht="16.5" customHeight="1" x14ac:dyDescent="0.3">
      <c r="A922" s="825"/>
      <c r="B922" s="825"/>
      <c r="C922" s="825"/>
      <c r="D922" s="825"/>
      <c r="E922" s="825"/>
      <c r="F922" s="825"/>
      <c r="G922" s="825"/>
      <c r="H922" s="825"/>
      <c r="I922" s="825"/>
      <c r="J922" s="825"/>
      <c r="K922" s="825"/>
      <c r="L922" s="825"/>
      <c r="M922" s="825"/>
      <c r="N922" s="825"/>
      <c r="O922" s="825"/>
    </row>
    <row r="923" spans="1:15" ht="16.5" customHeight="1" x14ac:dyDescent="0.3">
      <c r="A923" s="825"/>
      <c r="B923" s="825"/>
      <c r="C923" s="825"/>
      <c r="D923" s="825"/>
      <c r="E923" s="825"/>
      <c r="F923" s="825"/>
      <c r="G923" s="825"/>
      <c r="H923" s="825"/>
      <c r="I923" s="825"/>
      <c r="J923" s="825"/>
      <c r="K923" s="825"/>
      <c r="L923" s="825"/>
      <c r="M923" s="825"/>
      <c r="N923" s="825"/>
      <c r="O923" s="825"/>
    </row>
    <row r="924" spans="1:15" ht="16.5" customHeight="1" x14ac:dyDescent="0.3">
      <c r="A924" s="825"/>
      <c r="B924" s="825"/>
      <c r="C924" s="825"/>
      <c r="D924" s="825"/>
      <c r="E924" s="825"/>
      <c r="F924" s="825"/>
      <c r="G924" s="825"/>
      <c r="H924" s="825"/>
      <c r="I924" s="825"/>
      <c r="J924" s="825"/>
      <c r="K924" s="825"/>
      <c r="L924" s="825"/>
      <c r="M924" s="825"/>
      <c r="N924" s="825"/>
      <c r="O924" s="825"/>
    </row>
    <row r="925" spans="1:15" ht="16.5" customHeight="1" x14ac:dyDescent="0.3">
      <c r="A925" s="825"/>
      <c r="B925" s="825"/>
      <c r="C925" s="825"/>
      <c r="D925" s="825"/>
      <c r="E925" s="825"/>
      <c r="F925" s="825"/>
      <c r="G925" s="825"/>
      <c r="H925" s="825"/>
      <c r="I925" s="825"/>
      <c r="J925" s="825"/>
      <c r="K925" s="825"/>
      <c r="L925" s="825"/>
      <c r="M925" s="825"/>
      <c r="N925" s="825"/>
      <c r="O925" s="825"/>
    </row>
    <row r="926" spans="1:15" ht="16.5" customHeight="1" x14ac:dyDescent="0.3">
      <c r="A926" s="825"/>
      <c r="B926" s="825"/>
      <c r="C926" s="825"/>
      <c r="D926" s="825"/>
      <c r="E926" s="825"/>
      <c r="F926" s="825"/>
      <c r="G926" s="825"/>
      <c r="H926" s="825"/>
      <c r="I926" s="825"/>
      <c r="J926" s="825"/>
      <c r="K926" s="825"/>
      <c r="L926" s="825"/>
      <c r="M926" s="825"/>
      <c r="N926" s="825"/>
      <c r="O926" s="825"/>
    </row>
    <row r="927" spans="1:15" ht="16.5" customHeight="1" x14ac:dyDescent="0.3">
      <c r="A927" s="825"/>
      <c r="B927" s="825"/>
      <c r="C927" s="825"/>
      <c r="D927" s="825"/>
      <c r="E927" s="825"/>
      <c r="F927" s="825"/>
      <c r="G927" s="825"/>
      <c r="H927" s="825"/>
      <c r="I927" s="825"/>
      <c r="J927" s="825"/>
      <c r="K927" s="825"/>
      <c r="L927" s="825"/>
      <c r="M927" s="825"/>
      <c r="N927" s="825"/>
      <c r="O927" s="825"/>
    </row>
    <row r="928" spans="1:15" ht="16.5" customHeight="1" x14ac:dyDescent="0.3">
      <c r="A928" s="825"/>
      <c r="B928" s="825"/>
      <c r="C928" s="825"/>
      <c r="D928" s="825"/>
      <c r="E928" s="825"/>
      <c r="F928" s="825"/>
      <c r="G928" s="825"/>
      <c r="H928" s="825"/>
      <c r="I928" s="825"/>
      <c r="J928" s="825"/>
      <c r="K928" s="825"/>
      <c r="L928" s="825"/>
      <c r="M928" s="825"/>
      <c r="N928" s="825"/>
      <c r="O928" s="825"/>
    </row>
    <row r="929" spans="1:15" ht="16.5" customHeight="1" x14ac:dyDescent="0.3">
      <c r="A929" s="825"/>
      <c r="B929" s="825"/>
      <c r="C929" s="825"/>
      <c r="D929" s="825"/>
      <c r="E929" s="825"/>
      <c r="F929" s="825"/>
      <c r="G929" s="825"/>
      <c r="H929" s="825"/>
      <c r="I929" s="825"/>
      <c r="J929" s="825"/>
      <c r="K929" s="825"/>
      <c r="L929" s="825"/>
      <c r="M929" s="825"/>
      <c r="N929" s="825"/>
      <c r="O929" s="825"/>
    </row>
    <row r="930" spans="1:15" ht="16.5" customHeight="1" x14ac:dyDescent="0.3">
      <c r="A930" s="825"/>
      <c r="B930" s="825"/>
      <c r="C930" s="825"/>
      <c r="D930" s="825"/>
      <c r="E930" s="825"/>
      <c r="F930" s="825"/>
      <c r="G930" s="825"/>
      <c r="H930" s="825"/>
      <c r="I930" s="825"/>
      <c r="J930" s="825"/>
      <c r="K930" s="825"/>
      <c r="L930" s="825"/>
      <c r="M930" s="825"/>
      <c r="N930" s="825"/>
      <c r="O930" s="825"/>
    </row>
    <row r="931" spans="1:15" ht="16.5" customHeight="1" x14ac:dyDescent="0.3">
      <c r="A931" s="825"/>
      <c r="B931" s="825"/>
      <c r="C931" s="825"/>
      <c r="D931" s="825"/>
      <c r="E931" s="825"/>
      <c r="F931" s="825"/>
      <c r="G931" s="825"/>
      <c r="H931" s="825"/>
      <c r="I931" s="825"/>
      <c r="J931" s="825"/>
      <c r="K931" s="825"/>
      <c r="L931" s="825"/>
      <c r="M931" s="825"/>
      <c r="N931" s="825"/>
      <c r="O931" s="825"/>
    </row>
    <row r="932" spans="1:15" ht="16.5" customHeight="1" x14ac:dyDescent="0.3">
      <c r="A932" s="825"/>
      <c r="B932" s="825"/>
      <c r="C932" s="825"/>
      <c r="D932" s="825"/>
      <c r="E932" s="825"/>
      <c r="F932" s="825"/>
      <c r="G932" s="825"/>
      <c r="H932" s="825"/>
      <c r="I932" s="825"/>
      <c r="J932" s="825"/>
      <c r="K932" s="825"/>
      <c r="L932" s="825"/>
      <c r="M932" s="825"/>
      <c r="N932" s="825"/>
      <c r="O932" s="825"/>
    </row>
    <row r="933" spans="1:15" ht="16.5" customHeight="1" x14ac:dyDescent="0.3">
      <c r="A933" s="825"/>
      <c r="B933" s="825"/>
      <c r="C933" s="825"/>
      <c r="D933" s="825"/>
      <c r="E933" s="825"/>
      <c r="F933" s="825"/>
      <c r="G933" s="825"/>
      <c r="H933" s="825"/>
      <c r="I933" s="825"/>
      <c r="J933" s="825"/>
      <c r="K933" s="825"/>
      <c r="L933" s="825"/>
      <c r="M933" s="825"/>
      <c r="N933" s="825"/>
      <c r="O933" s="825"/>
    </row>
    <row r="934" spans="1:15" ht="16.5" customHeight="1" x14ac:dyDescent="0.3">
      <c r="A934" s="825"/>
      <c r="B934" s="825"/>
      <c r="C934" s="825"/>
      <c r="D934" s="825"/>
      <c r="E934" s="825"/>
      <c r="F934" s="825"/>
      <c r="G934" s="825"/>
      <c r="H934" s="825"/>
      <c r="I934" s="825"/>
      <c r="J934" s="825"/>
      <c r="K934" s="825"/>
      <c r="L934" s="825"/>
      <c r="M934" s="825"/>
      <c r="N934" s="825"/>
      <c r="O934" s="825"/>
    </row>
    <row r="935" spans="1:15" ht="16.5" customHeight="1" x14ac:dyDescent="0.3">
      <c r="A935" s="825"/>
      <c r="B935" s="825"/>
      <c r="C935" s="825"/>
      <c r="D935" s="825"/>
      <c r="E935" s="825"/>
      <c r="F935" s="825"/>
      <c r="G935" s="825"/>
      <c r="H935" s="825"/>
      <c r="I935" s="825"/>
      <c r="J935" s="825"/>
      <c r="K935" s="825"/>
      <c r="L935" s="825"/>
      <c r="M935" s="825"/>
      <c r="N935" s="825"/>
      <c r="O935" s="825"/>
    </row>
    <row r="936" spans="1:15" ht="16.5" customHeight="1" x14ac:dyDescent="0.3">
      <c r="A936" s="825"/>
      <c r="B936" s="825"/>
      <c r="C936" s="825"/>
      <c r="D936" s="825"/>
      <c r="E936" s="825"/>
      <c r="F936" s="825"/>
      <c r="G936" s="825"/>
      <c r="H936" s="825"/>
      <c r="I936" s="825"/>
      <c r="J936" s="825"/>
      <c r="K936" s="825"/>
      <c r="L936" s="825"/>
      <c r="M936" s="825"/>
      <c r="N936" s="825"/>
      <c r="O936" s="825"/>
    </row>
    <row r="937" spans="1:15" ht="16.5" customHeight="1" x14ac:dyDescent="0.3">
      <c r="A937" s="825"/>
      <c r="B937" s="825"/>
      <c r="C937" s="825"/>
      <c r="D937" s="825"/>
      <c r="E937" s="825"/>
      <c r="F937" s="825"/>
      <c r="G937" s="825"/>
      <c r="H937" s="825"/>
      <c r="I937" s="825"/>
      <c r="J937" s="825"/>
      <c r="K937" s="825"/>
      <c r="L937" s="825"/>
      <c r="M937" s="825"/>
      <c r="N937" s="825"/>
      <c r="O937" s="825"/>
    </row>
    <row r="938" spans="1:15" ht="16.5" customHeight="1" x14ac:dyDescent="0.3">
      <c r="A938" s="825"/>
      <c r="B938" s="825"/>
      <c r="C938" s="825"/>
      <c r="D938" s="825"/>
      <c r="E938" s="825"/>
      <c r="F938" s="825"/>
      <c r="G938" s="825"/>
      <c r="H938" s="825"/>
      <c r="I938" s="825"/>
      <c r="J938" s="825"/>
      <c r="K938" s="825"/>
      <c r="L938" s="825"/>
      <c r="M938" s="825"/>
      <c r="N938" s="825"/>
      <c r="O938" s="825"/>
    </row>
    <row r="939" spans="1:15" ht="16.5" customHeight="1" x14ac:dyDescent="0.3">
      <c r="A939" s="825"/>
      <c r="B939" s="825"/>
      <c r="C939" s="825"/>
      <c r="D939" s="825"/>
      <c r="E939" s="825"/>
      <c r="F939" s="825"/>
      <c r="G939" s="825"/>
      <c r="H939" s="825"/>
      <c r="I939" s="825"/>
      <c r="J939" s="825"/>
      <c r="K939" s="825"/>
      <c r="L939" s="825"/>
      <c r="M939" s="825"/>
      <c r="N939" s="825"/>
      <c r="O939" s="825"/>
    </row>
    <row r="940" spans="1:15" ht="16.5" customHeight="1" x14ac:dyDescent="0.3">
      <c r="A940" s="825"/>
      <c r="B940" s="825"/>
      <c r="C940" s="825"/>
      <c r="D940" s="825"/>
      <c r="E940" s="825"/>
      <c r="F940" s="825"/>
      <c r="G940" s="825"/>
      <c r="H940" s="825"/>
      <c r="I940" s="825"/>
      <c r="J940" s="825"/>
      <c r="K940" s="825"/>
      <c r="L940" s="825"/>
      <c r="M940" s="825"/>
      <c r="N940" s="825"/>
      <c r="O940" s="825"/>
    </row>
    <row r="941" spans="1:15" ht="16.5" customHeight="1" x14ac:dyDescent="0.3">
      <c r="A941" s="825"/>
      <c r="B941" s="825"/>
      <c r="C941" s="825"/>
      <c r="D941" s="825"/>
      <c r="E941" s="825"/>
      <c r="F941" s="825"/>
      <c r="G941" s="825"/>
      <c r="H941" s="825"/>
      <c r="I941" s="825"/>
      <c r="J941" s="825"/>
      <c r="K941" s="825"/>
      <c r="L941" s="825"/>
      <c r="M941" s="825"/>
      <c r="N941" s="825"/>
      <c r="O941" s="825"/>
    </row>
    <row r="942" spans="1:15" ht="16.5" customHeight="1" x14ac:dyDescent="0.3">
      <c r="A942" s="825"/>
      <c r="B942" s="825"/>
      <c r="C942" s="825"/>
      <c r="D942" s="825"/>
      <c r="E942" s="825"/>
      <c r="F942" s="825"/>
      <c r="G942" s="825"/>
      <c r="H942" s="825"/>
      <c r="I942" s="825"/>
      <c r="J942" s="825"/>
      <c r="K942" s="825"/>
      <c r="L942" s="825"/>
      <c r="M942" s="825"/>
      <c r="N942" s="825"/>
      <c r="O942" s="825"/>
    </row>
    <row r="943" spans="1:15" ht="16.5" customHeight="1" x14ac:dyDescent="0.3">
      <c r="A943" s="825"/>
      <c r="B943" s="825"/>
      <c r="C943" s="825"/>
      <c r="D943" s="825"/>
      <c r="E943" s="825"/>
      <c r="F943" s="825"/>
      <c r="G943" s="825"/>
      <c r="H943" s="825"/>
      <c r="I943" s="825"/>
      <c r="J943" s="825"/>
      <c r="K943" s="825"/>
      <c r="L943" s="825"/>
      <c r="M943" s="825"/>
      <c r="N943" s="825"/>
      <c r="O943" s="825"/>
    </row>
    <row r="944" spans="1:15" ht="16.5" customHeight="1" x14ac:dyDescent="0.3">
      <c r="A944" s="825"/>
      <c r="B944" s="825"/>
      <c r="C944" s="825"/>
      <c r="D944" s="825"/>
      <c r="E944" s="825"/>
      <c r="F944" s="825"/>
      <c r="G944" s="825"/>
      <c r="H944" s="825"/>
      <c r="I944" s="825"/>
      <c r="J944" s="825"/>
      <c r="K944" s="825"/>
      <c r="L944" s="825"/>
      <c r="M944" s="825"/>
      <c r="N944" s="825"/>
      <c r="O944" s="825"/>
    </row>
    <row r="945" spans="1:15" ht="16.5" customHeight="1" x14ac:dyDescent="0.3">
      <c r="A945" s="825"/>
      <c r="B945" s="825"/>
      <c r="C945" s="825"/>
      <c r="D945" s="825"/>
      <c r="E945" s="825"/>
      <c r="F945" s="825"/>
      <c r="G945" s="825"/>
      <c r="H945" s="825"/>
      <c r="I945" s="825"/>
      <c r="J945" s="825"/>
      <c r="K945" s="825"/>
      <c r="L945" s="825"/>
      <c r="M945" s="825"/>
      <c r="N945" s="825"/>
      <c r="O945" s="825"/>
    </row>
    <row r="946" spans="1:15" ht="16.5" customHeight="1" x14ac:dyDescent="0.3">
      <c r="A946" s="825"/>
      <c r="B946" s="825"/>
      <c r="C946" s="825"/>
      <c r="D946" s="825"/>
      <c r="E946" s="825"/>
      <c r="F946" s="825"/>
      <c r="G946" s="825"/>
      <c r="H946" s="825"/>
      <c r="I946" s="825"/>
      <c r="J946" s="825"/>
      <c r="K946" s="825"/>
      <c r="L946" s="825"/>
      <c r="M946" s="825"/>
      <c r="N946" s="825"/>
      <c r="O946" s="825"/>
    </row>
    <row r="947" spans="1:15" ht="16.5" customHeight="1" x14ac:dyDescent="0.3">
      <c r="A947" s="825"/>
      <c r="B947" s="825"/>
      <c r="C947" s="825"/>
      <c r="D947" s="825"/>
      <c r="E947" s="825"/>
      <c r="F947" s="825"/>
      <c r="G947" s="825"/>
      <c r="H947" s="825"/>
      <c r="I947" s="825"/>
      <c r="J947" s="825"/>
      <c r="K947" s="825"/>
      <c r="L947" s="825"/>
      <c r="M947" s="825"/>
      <c r="N947" s="825"/>
      <c r="O947" s="825"/>
    </row>
    <row r="948" spans="1:15" ht="16.5" customHeight="1" x14ac:dyDescent="0.3">
      <c r="A948" s="825"/>
      <c r="B948" s="825"/>
      <c r="C948" s="825"/>
      <c r="D948" s="825"/>
      <c r="E948" s="825"/>
      <c r="F948" s="825"/>
      <c r="G948" s="825"/>
      <c r="H948" s="825"/>
      <c r="I948" s="825"/>
      <c r="J948" s="825"/>
      <c r="K948" s="825"/>
      <c r="L948" s="825"/>
      <c r="M948" s="825"/>
      <c r="N948" s="825"/>
      <c r="O948" s="825"/>
    </row>
    <row r="949" spans="1:15" ht="16.5" customHeight="1" x14ac:dyDescent="0.3">
      <c r="A949" s="825"/>
      <c r="B949" s="825"/>
      <c r="C949" s="825"/>
      <c r="D949" s="825"/>
      <c r="E949" s="825"/>
      <c r="F949" s="825"/>
      <c r="G949" s="825"/>
      <c r="H949" s="825"/>
      <c r="I949" s="825"/>
      <c r="J949" s="825"/>
      <c r="K949" s="825"/>
      <c r="L949" s="825"/>
      <c r="M949" s="825"/>
      <c r="N949" s="825"/>
      <c r="O949" s="825"/>
    </row>
    <row r="950" spans="1:15" ht="16.5" customHeight="1" x14ac:dyDescent="0.3">
      <c r="A950" s="825"/>
      <c r="B950" s="825"/>
      <c r="C950" s="825"/>
      <c r="D950" s="825"/>
      <c r="E950" s="825"/>
      <c r="F950" s="825"/>
      <c r="G950" s="825"/>
      <c r="H950" s="825"/>
      <c r="I950" s="825"/>
      <c r="J950" s="825"/>
      <c r="K950" s="825"/>
      <c r="L950" s="825"/>
      <c r="M950" s="825"/>
      <c r="N950" s="825"/>
      <c r="O950" s="825"/>
    </row>
    <row r="951" spans="1:15" ht="16.5" customHeight="1" x14ac:dyDescent="0.3">
      <c r="A951" s="825"/>
      <c r="B951" s="825"/>
      <c r="C951" s="825"/>
      <c r="D951" s="825"/>
      <c r="E951" s="825"/>
      <c r="F951" s="825"/>
      <c r="G951" s="825"/>
      <c r="H951" s="825"/>
      <c r="I951" s="825"/>
      <c r="J951" s="825"/>
      <c r="K951" s="825"/>
      <c r="L951" s="825"/>
      <c r="M951" s="825"/>
      <c r="N951" s="825"/>
      <c r="O951" s="825"/>
    </row>
    <row r="952" spans="1:15" ht="16.5" customHeight="1" x14ac:dyDescent="0.3">
      <c r="A952" s="825"/>
      <c r="B952" s="825"/>
      <c r="C952" s="825"/>
      <c r="D952" s="825"/>
      <c r="E952" s="825"/>
      <c r="F952" s="825"/>
      <c r="G952" s="825"/>
      <c r="H952" s="825"/>
      <c r="I952" s="825"/>
      <c r="J952" s="825"/>
      <c r="K952" s="825"/>
      <c r="L952" s="825"/>
      <c r="M952" s="825"/>
      <c r="N952" s="825"/>
      <c r="O952" s="825"/>
    </row>
    <row r="953" spans="1:15" ht="16.5" customHeight="1" x14ac:dyDescent="0.3">
      <c r="A953" s="825"/>
      <c r="B953" s="825"/>
      <c r="C953" s="825"/>
      <c r="D953" s="825"/>
      <c r="E953" s="825"/>
      <c r="F953" s="825"/>
      <c r="G953" s="825"/>
      <c r="H953" s="825"/>
      <c r="I953" s="825"/>
      <c r="J953" s="825"/>
      <c r="K953" s="825"/>
      <c r="L953" s="825"/>
      <c r="M953" s="825"/>
      <c r="N953" s="825"/>
      <c r="O953" s="825"/>
    </row>
    <row r="954" spans="1:15" ht="16.5" customHeight="1" x14ac:dyDescent="0.3">
      <c r="A954" s="825"/>
      <c r="B954" s="825"/>
      <c r="C954" s="825"/>
      <c r="D954" s="825"/>
      <c r="E954" s="825"/>
      <c r="F954" s="825"/>
      <c r="G954" s="825"/>
      <c r="H954" s="825"/>
      <c r="I954" s="825"/>
      <c r="J954" s="825"/>
      <c r="K954" s="825"/>
      <c r="L954" s="825"/>
      <c r="M954" s="825"/>
      <c r="N954" s="825"/>
      <c r="O954" s="825"/>
    </row>
    <row r="955" spans="1:15" ht="16.5" customHeight="1" x14ac:dyDescent="0.3">
      <c r="A955" s="825"/>
      <c r="B955" s="825"/>
      <c r="C955" s="825"/>
      <c r="D955" s="825"/>
      <c r="E955" s="825"/>
      <c r="F955" s="825"/>
      <c r="G955" s="825"/>
      <c r="H955" s="825"/>
      <c r="I955" s="825"/>
      <c r="J955" s="825"/>
      <c r="K955" s="825"/>
      <c r="L955" s="825"/>
      <c r="M955" s="825"/>
      <c r="N955" s="825"/>
      <c r="O955" s="825"/>
    </row>
    <row r="956" spans="1:15" ht="16.5" customHeight="1" x14ac:dyDescent="0.3">
      <c r="A956" s="825"/>
      <c r="B956" s="825"/>
      <c r="C956" s="825"/>
      <c r="D956" s="825"/>
      <c r="E956" s="825"/>
      <c r="F956" s="825"/>
      <c r="G956" s="825"/>
      <c r="H956" s="825"/>
      <c r="I956" s="825"/>
      <c r="J956" s="825"/>
      <c r="K956" s="825"/>
      <c r="L956" s="825"/>
      <c r="M956" s="825"/>
      <c r="N956" s="825"/>
      <c r="O956" s="825"/>
    </row>
    <row r="957" spans="1:15" ht="16.5" customHeight="1" x14ac:dyDescent="0.3">
      <c r="A957" s="825"/>
      <c r="B957" s="825"/>
      <c r="C957" s="825"/>
      <c r="D957" s="825"/>
      <c r="E957" s="825"/>
      <c r="F957" s="825"/>
      <c r="G957" s="825"/>
      <c r="H957" s="825"/>
      <c r="I957" s="825"/>
      <c r="J957" s="825"/>
      <c r="K957" s="825"/>
      <c r="L957" s="825"/>
      <c r="M957" s="825"/>
      <c r="N957" s="825"/>
      <c r="O957" s="825"/>
    </row>
    <row r="958" spans="1:15" ht="16.5" customHeight="1" x14ac:dyDescent="0.3">
      <c r="A958" s="825"/>
      <c r="B958" s="825"/>
      <c r="C958" s="825"/>
      <c r="D958" s="825"/>
      <c r="E958" s="825"/>
      <c r="F958" s="825"/>
      <c r="G958" s="825"/>
      <c r="H958" s="825"/>
      <c r="I958" s="825"/>
      <c r="J958" s="825"/>
      <c r="K958" s="825"/>
      <c r="L958" s="825"/>
      <c r="M958" s="825"/>
      <c r="N958" s="825"/>
      <c r="O958" s="825"/>
    </row>
    <row r="959" spans="1:15" ht="16.5" customHeight="1" x14ac:dyDescent="0.3">
      <c r="A959" s="825"/>
      <c r="B959" s="825"/>
      <c r="C959" s="825"/>
      <c r="D959" s="825"/>
      <c r="E959" s="825"/>
      <c r="F959" s="825"/>
      <c r="G959" s="825"/>
      <c r="H959" s="825"/>
      <c r="I959" s="825"/>
      <c r="J959" s="825"/>
      <c r="K959" s="825"/>
      <c r="L959" s="825"/>
      <c r="M959" s="825"/>
      <c r="N959" s="825"/>
      <c r="O959" s="825"/>
    </row>
    <row r="960" spans="1:15" ht="16.5" customHeight="1" x14ac:dyDescent="0.3">
      <c r="A960" s="825"/>
      <c r="B960" s="825"/>
      <c r="C960" s="825"/>
      <c r="D960" s="825"/>
      <c r="E960" s="825"/>
      <c r="F960" s="825"/>
      <c r="G960" s="825"/>
      <c r="H960" s="825"/>
      <c r="I960" s="825"/>
      <c r="J960" s="825"/>
      <c r="K960" s="825"/>
      <c r="L960" s="825"/>
      <c r="M960" s="825"/>
      <c r="N960" s="825"/>
      <c r="O960" s="825"/>
    </row>
    <row r="961" spans="1:15" ht="16.5" customHeight="1" x14ac:dyDescent="0.3">
      <c r="A961" s="825"/>
      <c r="B961" s="825"/>
      <c r="C961" s="825"/>
      <c r="D961" s="825"/>
      <c r="E961" s="825"/>
      <c r="F961" s="825"/>
      <c r="G961" s="825"/>
      <c r="H961" s="825"/>
      <c r="I961" s="825"/>
      <c r="J961" s="825"/>
      <c r="K961" s="825"/>
      <c r="L961" s="825"/>
      <c r="M961" s="825"/>
      <c r="N961" s="825"/>
      <c r="O961" s="825"/>
    </row>
    <row r="962" spans="1:15" ht="16.5" customHeight="1" x14ac:dyDescent="0.3">
      <c r="A962" s="825"/>
      <c r="B962" s="825"/>
      <c r="C962" s="825"/>
      <c r="D962" s="825"/>
      <c r="E962" s="825"/>
      <c r="F962" s="825"/>
      <c r="G962" s="825"/>
      <c r="H962" s="825"/>
      <c r="I962" s="825"/>
      <c r="J962" s="825"/>
      <c r="K962" s="825"/>
      <c r="L962" s="825"/>
      <c r="M962" s="825"/>
      <c r="N962" s="825"/>
      <c r="O962" s="825"/>
    </row>
    <row r="963" spans="1:15" ht="16.5" customHeight="1" x14ac:dyDescent="0.3">
      <c r="A963" s="825"/>
      <c r="B963" s="825"/>
      <c r="C963" s="825"/>
      <c r="D963" s="825"/>
      <c r="E963" s="825"/>
      <c r="F963" s="825"/>
      <c r="G963" s="825"/>
      <c r="H963" s="825"/>
      <c r="I963" s="825"/>
      <c r="J963" s="825"/>
      <c r="K963" s="825"/>
      <c r="L963" s="825"/>
      <c r="M963" s="825"/>
      <c r="N963" s="825"/>
      <c r="O963" s="825"/>
    </row>
    <row r="964" spans="1:15" ht="16.5" customHeight="1" x14ac:dyDescent="0.3">
      <c r="A964" s="825"/>
      <c r="B964" s="825"/>
      <c r="C964" s="825"/>
      <c r="D964" s="825"/>
      <c r="E964" s="825"/>
      <c r="F964" s="825"/>
      <c r="G964" s="825"/>
      <c r="H964" s="825"/>
      <c r="I964" s="825"/>
      <c r="J964" s="825"/>
      <c r="K964" s="825"/>
      <c r="L964" s="825"/>
      <c r="M964" s="825"/>
      <c r="N964" s="825"/>
      <c r="O964" s="825"/>
    </row>
    <row r="965" spans="1:15" ht="16.5" customHeight="1" x14ac:dyDescent="0.3">
      <c r="A965" s="825"/>
      <c r="B965" s="825"/>
      <c r="C965" s="825"/>
      <c r="D965" s="825"/>
      <c r="E965" s="825"/>
      <c r="F965" s="825"/>
      <c r="G965" s="825"/>
      <c r="H965" s="825"/>
      <c r="I965" s="825"/>
      <c r="J965" s="825"/>
      <c r="K965" s="825"/>
      <c r="L965" s="825"/>
      <c r="M965" s="825"/>
      <c r="N965" s="825"/>
      <c r="O965" s="825"/>
    </row>
    <row r="966" spans="1:15" ht="16.5" customHeight="1" x14ac:dyDescent="0.3">
      <c r="A966" s="825"/>
      <c r="B966" s="825"/>
      <c r="C966" s="825"/>
      <c r="D966" s="825"/>
      <c r="E966" s="825"/>
      <c r="F966" s="825"/>
      <c r="G966" s="825"/>
      <c r="H966" s="825"/>
      <c r="I966" s="825"/>
      <c r="J966" s="825"/>
      <c r="K966" s="825"/>
      <c r="L966" s="825"/>
      <c r="M966" s="825"/>
      <c r="N966" s="825"/>
      <c r="O966" s="825"/>
    </row>
    <row r="967" spans="1:15" ht="16.5" customHeight="1" x14ac:dyDescent="0.3">
      <c r="A967" s="825"/>
      <c r="B967" s="825"/>
      <c r="C967" s="825"/>
      <c r="D967" s="825"/>
      <c r="E967" s="825"/>
      <c r="F967" s="825"/>
      <c r="G967" s="825"/>
      <c r="H967" s="825"/>
      <c r="I967" s="825"/>
      <c r="J967" s="825"/>
      <c r="K967" s="825"/>
      <c r="L967" s="825"/>
      <c r="M967" s="825"/>
      <c r="N967" s="825"/>
      <c r="O967" s="825"/>
    </row>
    <row r="968" spans="1:15" ht="16.5" customHeight="1" x14ac:dyDescent="0.3">
      <c r="A968" s="825"/>
      <c r="B968" s="825"/>
      <c r="C968" s="825"/>
      <c r="D968" s="825"/>
      <c r="E968" s="825"/>
      <c r="F968" s="825"/>
      <c r="G968" s="825"/>
      <c r="H968" s="825"/>
      <c r="I968" s="825"/>
      <c r="J968" s="825"/>
      <c r="K968" s="825"/>
      <c r="L968" s="825"/>
      <c r="M968" s="825"/>
      <c r="N968" s="825"/>
      <c r="O968" s="825"/>
    </row>
    <row r="969" spans="1:15" ht="16.5" customHeight="1" x14ac:dyDescent="0.3">
      <c r="A969" s="825"/>
      <c r="B969" s="825"/>
      <c r="C969" s="825"/>
      <c r="D969" s="825"/>
      <c r="E969" s="825"/>
      <c r="F969" s="825"/>
      <c r="G969" s="825"/>
      <c r="H969" s="825"/>
      <c r="I969" s="825"/>
      <c r="J969" s="825"/>
      <c r="K969" s="825"/>
      <c r="L969" s="825"/>
      <c r="M969" s="825"/>
      <c r="N969" s="825"/>
      <c r="O969" s="825"/>
    </row>
    <row r="970" spans="1:15" ht="16.5" customHeight="1" x14ac:dyDescent="0.3">
      <c r="A970" s="825"/>
      <c r="B970" s="825"/>
      <c r="C970" s="825"/>
      <c r="D970" s="825"/>
      <c r="E970" s="825"/>
      <c r="F970" s="825"/>
      <c r="G970" s="825"/>
      <c r="H970" s="825"/>
      <c r="I970" s="825"/>
      <c r="J970" s="825"/>
      <c r="K970" s="825"/>
      <c r="L970" s="825"/>
      <c r="M970" s="825"/>
      <c r="N970" s="825"/>
      <c r="O970" s="825"/>
    </row>
    <row r="971" spans="1:15" ht="16.5" customHeight="1" x14ac:dyDescent="0.3">
      <c r="A971" s="825"/>
      <c r="B971" s="825"/>
      <c r="C971" s="825"/>
      <c r="D971" s="825"/>
      <c r="E971" s="825"/>
      <c r="F971" s="825"/>
      <c r="G971" s="825"/>
      <c r="H971" s="825"/>
      <c r="I971" s="825"/>
      <c r="J971" s="825"/>
      <c r="K971" s="825"/>
      <c r="L971" s="825"/>
      <c r="M971" s="825"/>
      <c r="N971" s="825"/>
      <c r="O971" s="825"/>
    </row>
    <row r="972" spans="1:15" ht="16.5" customHeight="1" x14ac:dyDescent="0.3">
      <c r="A972" s="825"/>
      <c r="B972" s="825"/>
      <c r="C972" s="825"/>
      <c r="D972" s="825"/>
      <c r="E972" s="825"/>
      <c r="F972" s="825"/>
      <c r="G972" s="825"/>
      <c r="H972" s="825"/>
      <c r="I972" s="825"/>
      <c r="J972" s="825"/>
      <c r="K972" s="825"/>
      <c r="L972" s="825"/>
      <c r="M972" s="825"/>
      <c r="N972" s="825"/>
      <c r="O972" s="825"/>
    </row>
    <row r="973" spans="1:15" ht="16.5" customHeight="1" x14ac:dyDescent="0.3">
      <c r="A973" s="825"/>
      <c r="B973" s="825"/>
      <c r="C973" s="825"/>
      <c r="D973" s="825"/>
      <c r="E973" s="825"/>
      <c r="F973" s="825"/>
      <c r="G973" s="825"/>
      <c r="H973" s="825"/>
      <c r="I973" s="825"/>
      <c r="J973" s="825"/>
      <c r="K973" s="825"/>
      <c r="L973" s="825"/>
      <c r="M973" s="825"/>
      <c r="N973" s="825"/>
      <c r="O973" s="825"/>
    </row>
    <row r="974" spans="1:15" ht="16.5" customHeight="1" x14ac:dyDescent="0.3">
      <c r="A974" s="825"/>
      <c r="B974" s="825"/>
      <c r="C974" s="825"/>
      <c r="D974" s="825"/>
      <c r="E974" s="825"/>
      <c r="F974" s="825"/>
      <c r="G974" s="825"/>
      <c r="H974" s="825"/>
      <c r="I974" s="825"/>
      <c r="J974" s="825"/>
      <c r="K974" s="825"/>
      <c r="L974" s="825"/>
      <c r="M974" s="825"/>
      <c r="N974" s="825"/>
      <c r="O974" s="825"/>
    </row>
    <row r="975" spans="1:15" ht="16.5" customHeight="1" x14ac:dyDescent="0.3">
      <c r="A975" s="825"/>
      <c r="B975" s="825"/>
      <c r="C975" s="825"/>
      <c r="D975" s="825"/>
      <c r="E975" s="825"/>
      <c r="F975" s="825"/>
      <c r="G975" s="825"/>
      <c r="H975" s="825"/>
      <c r="I975" s="825"/>
      <c r="J975" s="825"/>
      <c r="K975" s="825"/>
      <c r="L975" s="825"/>
      <c r="M975" s="825"/>
      <c r="N975" s="825"/>
      <c r="O975" s="825"/>
    </row>
    <row r="976" spans="1:15" ht="16.5" customHeight="1" x14ac:dyDescent="0.3">
      <c r="A976" s="825"/>
      <c r="B976" s="825"/>
      <c r="C976" s="825"/>
      <c r="D976" s="825"/>
      <c r="E976" s="825"/>
      <c r="F976" s="825"/>
      <c r="G976" s="825"/>
      <c r="H976" s="825"/>
      <c r="I976" s="825"/>
      <c r="J976" s="825"/>
      <c r="K976" s="825"/>
      <c r="L976" s="825"/>
      <c r="M976" s="825"/>
      <c r="N976" s="825"/>
      <c r="O976" s="825"/>
    </row>
    <row r="977" spans="1:15" ht="16.5" customHeight="1" x14ac:dyDescent="0.3">
      <c r="A977" s="825"/>
      <c r="B977" s="825"/>
      <c r="C977" s="825"/>
      <c r="D977" s="825"/>
      <c r="E977" s="825"/>
      <c r="F977" s="825"/>
      <c r="G977" s="825"/>
      <c r="H977" s="825"/>
      <c r="I977" s="825"/>
      <c r="J977" s="825"/>
      <c r="K977" s="825"/>
      <c r="L977" s="825"/>
      <c r="M977" s="825"/>
      <c r="N977" s="825"/>
      <c r="O977" s="825"/>
    </row>
    <row r="978" spans="1:15" ht="16.5" customHeight="1" x14ac:dyDescent="0.3">
      <c r="A978" s="825"/>
      <c r="B978" s="825"/>
      <c r="C978" s="825"/>
      <c r="D978" s="825"/>
      <c r="E978" s="825"/>
      <c r="F978" s="825"/>
      <c r="G978" s="825"/>
      <c r="H978" s="825"/>
      <c r="I978" s="825"/>
      <c r="J978" s="825"/>
      <c r="K978" s="825"/>
      <c r="L978" s="825"/>
      <c r="M978" s="825"/>
      <c r="N978" s="825"/>
      <c r="O978" s="825"/>
    </row>
    <row r="979" spans="1:15" ht="16.5" customHeight="1" x14ac:dyDescent="0.3">
      <c r="A979" s="825"/>
      <c r="B979" s="825"/>
      <c r="C979" s="825"/>
      <c r="D979" s="825"/>
      <c r="E979" s="825"/>
      <c r="F979" s="825"/>
      <c r="G979" s="825"/>
      <c r="H979" s="825"/>
      <c r="I979" s="825"/>
      <c r="J979" s="825"/>
      <c r="K979" s="825"/>
      <c r="L979" s="825"/>
      <c r="M979" s="825"/>
      <c r="N979" s="825"/>
      <c r="O979" s="825"/>
    </row>
    <row r="980" spans="1:15" ht="16.5" customHeight="1" x14ac:dyDescent="0.3">
      <c r="A980" s="825"/>
      <c r="B980" s="825"/>
      <c r="C980" s="825"/>
      <c r="D980" s="825"/>
      <c r="E980" s="825"/>
      <c r="F980" s="825"/>
      <c r="G980" s="825"/>
      <c r="H980" s="825"/>
      <c r="I980" s="825"/>
      <c r="J980" s="825"/>
      <c r="K980" s="825"/>
      <c r="L980" s="825"/>
      <c r="M980" s="825"/>
      <c r="N980" s="825"/>
      <c r="O980" s="825"/>
    </row>
    <row r="981" spans="1:15" ht="16.5" customHeight="1" x14ac:dyDescent="0.3">
      <c r="A981" s="825"/>
      <c r="B981" s="825"/>
      <c r="C981" s="825"/>
      <c r="D981" s="825"/>
      <c r="E981" s="825"/>
      <c r="F981" s="825"/>
      <c r="G981" s="825"/>
      <c r="H981" s="825"/>
      <c r="I981" s="825"/>
      <c r="J981" s="825"/>
      <c r="K981" s="825"/>
      <c r="L981" s="825"/>
      <c r="M981" s="825"/>
      <c r="N981" s="825"/>
      <c r="O981" s="825"/>
    </row>
    <row r="982" spans="1:15" ht="16.5" customHeight="1" x14ac:dyDescent="0.3">
      <c r="A982" s="825"/>
      <c r="B982" s="825"/>
      <c r="C982" s="825"/>
      <c r="D982" s="825"/>
      <c r="E982" s="825"/>
      <c r="F982" s="825"/>
      <c r="G982" s="825"/>
      <c r="H982" s="825"/>
      <c r="I982" s="825"/>
      <c r="J982" s="825"/>
      <c r="K982" s="825"/>
      <c r="L982" s="825"/>
      <c r="M982" s="825"/>
      <c r="N982" s="825"/>
      <c r="O982" s="825"/>
    </row>
    <row r="983" spans="1:15" ht="16.5" customHeight="1" x14ac:dyDescent="0.3">
      <c r="A983" s="825"/>
      <c r="B983" s="825"/>
      <c r="C983" s="825"/>
      <c r="D983" s="825"/>
      <c r="E983" s="825"/>
      <c r="F983" s="825"/>
      <c r="G983" s="825"/>
      <c r="H983" s="825"/>
      <c r="I983" s="825"/>
      <c r="J983" s="825"/>
      <c r="K983" s="825"/>
      <c r="L983" s="825"/>
      <c r="M983" s="825"/>
      <c r="N983" s="825"/>
      <c r="O983" s="825"/>
    </row>
    <row r="984" spans="1:15" ht="16.5" customHeight="1" x14ac:dyDescent="0.3">
      <c r="A984" s="825"/>
      <c r="B984" s="825"/>
      <c r="C984" s="825"/>
      <c r="D984" s="825"/>
      <c r="E984" s="825"/>
      <c r="F984" s="825"/>
      <c r="G984" s="825"/>
      <c r="H984" s="825"/>
      <c r="I984" s="825"/>
      <c r="J984" s="825"/>
      <c r="K984" s="825"/>
      <c r="L984" s="825"/>
      <c r="M984" s="825"/>
      <c r="N984" s="825"/>
      <c r="O984" s="825"/>
    </row>
    <row r="985" spans="1:15" ht="16.5" customHeight="1" x14ac:dyDescent="0.3">
      <c r="A985" s="825"/>
      <c r="B985" s="825"/>
      <c r="C985" s="825"/>
      <c r="D985" s="825"/>
      <c r="E985" s="825"/>
      <c r="F985" s="825"/>
      <c r="G985" s="825"/>
      <c r="H985" s="825"/>
      <c r="I985" s="825"/>
      <c r="J985" s="825"/>
      <c r="K985" s="825"/>
      <c r="L985" s="825"/>
      <c r="M985" s="825"/>
      <c r="N985" s="825"/>
      <c r="O985" s="825"/>
    </row>
    <row r="986" spans="1:15" ht="16.5" customHeight="1" x14ac:dyDescent="0.3">
      <c r="A986" s="825"/>
      <c r="B986" s="825"/>
      <c r="C986" s="825"/>
      <c r="D986" s="825"/>
      <c r="E986" s="825"/>
      <c r="F986" s="825"/>
      <c r="G986" s="825"/>
      <c r="H986" s="825"/>
      <c r="I986" s="825"/>
      <c r="J986" s="825"/>
      <c r="K986" s="825"/>
      <c r="L986" s="825"/>
      <c r="M986" s="825"/>
      <c r="N986" s="825"/>
      <c r="O986" s="825"/>
    </row>
    <row r="987" spans="1:15" ht="16.5" customHeight="1" x14ac:dyDescent="0.3">
      <c r="A987" s="825"/>
      <c r="B987" s="825"/>
      <c r="C987" s="825"/>
      <c r="D987" s="825"/>
      <c r="E987" s="825"/>
      <c r="F987" s="825"/>
      <c r="G987" s="825"/>
      <c r="H987" s="825"/>
      <c r="I987" s="825"/>
      <c r="J987" s="825"/>
      <c r="K987" s="825"/>
      <c r="L987" s="825"/>
      <c r="M987" s="825"/>
      <c r="N987" s="825"/>
      <c r="O987" s="825"/>
    </row>
    <row r="988" spans="1:15" ht="16.5" customHeight="1" x14ac:dyDescent="0.3">
      <c r="A988" s="825"/>
      <c r="B988" s="825"/>
      <c r="C988" s="825"/>
      <c r="D988" s="825"/>
      <c r="E988" s="825"/>
      <c r="F988" s="825"/>
      <c r="G988" s="825"/>
      <c r="H988" s="825"/>
      <c r="I988" s="825"/>
      <c r="J988" s="825"/>
      <c r="K988" s="825"/>
      <c r="L988" s="825"/>
      <c r="M988" s="825"/>
      <c r="N988" s="825"/>
      <c r="O988" s="825"/>
    </row>
    <row r="989" spans="1:15" ht="16.5" customHeight="1" x14ac:dyDescent="0.3">
      <c r="A989" s="825"/>
      <c r="B989" s="825"/>
      <c r="C989" s="825"/>
      <c r="D989" s="825"/>
      <c r="E989" s="825"/>
      <c r="F989" s="825"/>
      <c r="G989" s="825"/>
      <c r="H989" s="825"/>
      <c r="I989" s="825"/>
      <c r="J989" s="825"/>
      <c r="K989" s="825"/>
      <c r="L989" s="825"/>
      <c r="M989" s="825"/>
      <c r="N989" s="825"/>
      <c r="O989" s="825"/>
    </row>
    <row r="990" spans="1:15" ht="16.5" customHeight="1" x14ac:dyDescent="0.3">
      <c r="A990" s="825"/>
      <c r="B990" s="825"/>
      <c r="C990" s="825"/>
      <c r="D990" s="825"/>
      <c r="E990" s="825"/>
      <c r="F990" s="825"/>
      <c r="G990" s="825"/>
      <c r="H990" s="825"/>
      <c r="I990" s="825"/>
      <c r="J990" s="825"/>
      <c r="K990" s="825"/>
      <c r="L990" s="825"/>
      <c r="M990" s="825"/>
      <c r="N990" s="825"/>
      <c r="O990" s="825"/>
    </row>
    <row r="991" spans="1:15" ht="16.5" customHeight="1" x14ac:dyDescent="0.3">
      <c r="A991" s="825"/>
      <c r="B991" s="825"/>
      <c r="C991" s="825"/>
      <c r="D991" s="825"/>
      <c r="E991" s="825"/>
      <c r="F991" s="825"/>
      <c r="G991" s="825"/>
      <c r="H991" s="825"/>
      <c r="I991" s="825"/>
      <c r="J991" s="825"/>
      <c r="K991" s="825"/>
      <c r="L991" s="825"/>
      <c r="M991" s="825"/>
      <c r="N991" s="825"/>
      <c r="O991" s="825"/>
    </row>
    <row r="992" spans="1:15" ht="16.5" customHeight="1" x14ac:dyDescent="0.3">
      <c r="A992" s="825"/>
      <c r="B992" s="825"/>
      <c r="C992" s="825"/>
      <c r="D992" s="825"/>
      <c r="E992" s="825"/>
      <c r="F992" s="825"/>
      <c r="G992" s="825"/>
      <c r="H992" s="825"/>
      <c r="I992" s="825"/>
      <c r="J992" s="825"/>
      <c r="K992" s="825"/>
      <c r="L992" s="825"/>
      <c r="M992" s="825"/>
      <c r="N992" s="825"/>
      <c r="O992" s="825"/>
    </row>
    <row r="993" spans="1:15" ht="16.5" customHeight="1" x14ac:dyDescent="0.3">
      <c r="A993" s="825"/>
      <c r="B993" s="825"/>
      <c r="C993" s="825"/>
      <c r="D993" s="825"/>
      <c r="E993" s="825"/>
      <c r="F993" s="825"/>
      <c r="G993" s="825"/>
      <c r="H993" s="825"/>
      <c r="I993" s="825"/>
      <c r="J993" s="825"/>
      <c r="K993" s="825"/>
      <c r="L993" s="825"/>
      <c r="M993" s="825"/>
      <c r="N993" s="825"/>
      <c r="O993" s="825"/>
    </row>
    <row r="994" spans="1:15" ht="16.5" customHeight="1" x14ac:dyDescent="0.3">
      <c r="A994" s="825"/>
      <c r="B994" s="825"/>
      <c r="C994" s="825"/>
      <c r="D994" s="825"/>
      <c r="E994" s="825"/>
      <c r="F994" s="825"/>
      <c r="G994" s="825"/>
      <c r="H994" s="825"/>
      <c r="I994" s="825"/>
      <c r="J994" s="825"/>
      <c r="K994" s="825"/>
      <c r="L994" s="825"/>
      <c r="M994" s="825"/>
      <c r="N994" s="825"/>
      <c r="O994" s="825"/>
    </row>
    <row r="995" spans="1:15" ht="16.5" customHeight="1" x14ac:dyDescent="0.3">
      <c r="A995" s="825"/>
      <c r="B995" s="825"/>
      <c r="C995" s="825"/>
      <c r="D995" s="825"/>
      <c r="E995" s="825"/>
      <c r="F995" s="825"/>
      <c r="G995" s="825"/>
      <c r="H995" s="825"/>
      <c r="I995" s="825"/>
      <c r="J995" s="825"/>
      <c r="K995" s="825"/>
      <c r="L995" s="825"/>
      <c r="M995" s="825"/>
      <c r="N995" s="825"/>
      <c r="O995" s="825"/>
    </row>
    <row r="996" spans="1:15" ht="16.5" customHeight="1" x14ac:dyDescent="0.3">
      <c r="A996" s="825"/>
      <c r="B996" s="825"/>
      <c r="C996" s="825"/>
      <c r="D996" s="825"/>
      <c r="E996" s="825"/>
      <c r="F996" s="825"/>
      <c r="G996" s="825"/>
      <c r="H996" s="825"/>
      <c r="I996" s="825"/>
      <c r="J996" s="825"/>
      <c r="K996" s="825"/>
      <c r="L996" s="825"/>
      <c r="M996" s="825"/>
      <c r="N996" s="825"/>
      <c r="O996" s="825"/>
    </row>
    <row r="997" spans="1:15" ht="16.5" customHeight="1" x14ac:dyDescent="0.3">
      <c r="A997" s="825"/>
      <c r="B997" s="825"/>
      <c r="C997" s="825"/>
      <c r="D997" s="825"/>
      <c r="E997" s="825"/>
      <c r="F997" s="825"/>
      <c r="G997" s="825"/>
      <c r="H997" s="825"/>
      <c r="I997" s="825"/>
      <c r="J997" s="825"/>
      <c r="K997" s="825"/>
      <c r="L997" s="825"/>
      <c r="M997" s="825"/>
      <c r="N997" s="825"/>
      <c r="O997" s="825"/>
    </row>
    <row r="998" spans="1:15" ht="16.5" customHeight="1" x14ac:dyDescent="0.3">
      <c r="A998" s="825"/>
      <c r="B998" s="825"/>
      <c r="C998" s="825"/>
      <c r="D998" s="825"/>
      <c r="E998" s="825"/>
      <c r="F998" s="825"/>
      <c r="G998" s="825"/>
      <c r="H998" s="825"/>
      <c r="I998" s="825"/>
      <c r="J998" s="825"/>
      <c r="K998" s="825"/>
      <c r="L998" s="825"/>
      <c r="M998" s="825"/>
      <c r="N998" s="825"/>
      <c r="O998" s="825"/>
    </row>
    <row r="999" spans="1:15" ht="16.5" customHeight="1" x14ac:dyDescent="0.3">
      <c r="A999" s="825"/>
      <c r="B999" s="825"/>
      <c r="C999" s="825"/>
      <c r="D999" s="825"/>
      <c r="E999" s="825"/>
      <c r="F999" s="825"/>
      <c r="G999" s="825"/>
      <c r="H999" s="825"/>
      <c r="I999" s="825"/>
      <c r="J999" s="825"/>
      <c r="K999" s="825"/>
      <c r="L999" s="825"/>
      <c r="M999" s="825"/>
      <c r="N999" s="825"/>
      <c r="O999" s="825"/>
    </row>
    <row r="1000" spans="1:15" ht="16.5" customHeight="1" x14ac:dyDescent="0.3">
      <c r="A1000" s="825"/>
      <c r="B1000" s="825"/>
      <c r="C1000" s="825"/>
      <c r="D1000" s="825"/>
      <c r="E1000" s="825"/>
      <c r="F1000" s="825"/>
      <c r="G1000" s="825"/>
      <c r="H1000" s="825"/>
      <c r="I1000" s="825"/>
      <c r="J1000" s="825"/>
      <c r="K1000" s="825"/>
      <c r="L1000" s="825"/>
      <c r="M1000" s="825"/>
      <c r="N1000" s="825"/>
      <c r="O1000" s="825"/>
    </row>
  </sheetData>
  <mergeCells count="23">
    <mergeCell ref="D35:H35"/>
    <mergeCell ref="B41:B43"/>
    <mergeCell ref="C41:C43"/>
    <mergeCell ref="D41:D43"/>
    <mergeCell ref="E41:O41"/>
    <mergeCell ref="E42:G42"/>
    <mergeCell ref="I42:J42"/>
    <mergeCell ref="L42:O42"/>
    <mergeCell ref="D21:D23"/>
    <mergeCell ref="E21:O21"/>
    <mergeCell ref="E22:H22"/>
    <mergeCell ref="I22:J22"/>
    <mergeCell ref="L22:O22"/>
    <mergeCell ref="B2:O2"/>
    <mergeCell ref="B3:O3"/>
    <mergeCell ref="B4:O4"/>
    <mergeCell ref="B5:B7"/>
    <mergeCell ref="C5:C7"/>
    <mergeCell ref="D5:D7"/>
    <mergeCell ref="E5:O5"/>
    <mergeCell ref="E6:H6"/>
    <mergeCell ref="I6:J6"/>
    <mergeCell ref="L6:O6"/>
  </mergeCells>
  <printOptions horizontalCentered="1" verticalCentered="1"/>
  <pageMargins left="0.25" right="0.25" top="0.75" bottom="0.75" header="0" footer="0"/>
  <pageSetup paperSize="9" scale="47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C00000"/>
    <pageSetUpPr fitToPage="1"/>
  </sheetPr>
  <dimension ref="B1:AI65"/>
  <sheetViews>
    <sheetView topLeftCell="M21" zoomScale="85" zoomScaleNormal="85" workbookViewId="0">
      <selection activeCell="W44" sqref="W44"/>
    </sheetView>
  </sheetViews>
  <sheetFormatPr defaultColWidth="9.109375" defaultRowHeight="13.8" x14ac:dyDescent="0.25"/>
  <cols>
    <col min="1" max="1" width="9.109375" style="1"/>
    <col min="2" max="2" width="9.33203125" style="1" bestFit="1" customWidth="1"/>
    <col min="3" max="3" width="30.77734375" style="1" bestFit="1" customWidth="1"/>
    <col min="4" max="4" width="9.33203125" style="1" bestFit="1" customWidth="1"/>
    <col min="5" max="7" width="14.6640625" style="1" bestFit="1" customWidth="1"/>
    <col min="8" max="8" width="14" style="1" bestFit="1" customWidth="1"/>
    <col min="9" max="9" width="14" style="1" customWidth="1"/>
    <col min="10" max="11" width="14.6640625" style="1" bestFit="1" customWidth="1"/>
    <col min="12" max="12" width="9.109375" style="1"/>
    <col min="13" max="13" width="13.88671875" style="1" customWidth="1"/>
    <col min="14" max="14" width="9.33203125" style="1" bestFit="1" customWidth="1"/>
    <col min="15" max="15" width="30.77734375" style="1" bestFit="1" customWidth="1"/>
    <col min="16" max="16" width="9.33203125" style="1" bestFit="1" customWidth="1"/>
    <col min="17" max="19" width="14.6640625" style="1" bestFit="1" customWidth="1"/>
    <col min="20" max="20" width="14" style="1" bestFit="1" customWidth="1"/>
    <col min="21" max="21" width="14" style="1" customWidth="1"/>
    <col min="22" max="23" width="14.6640625" style="1" bestFit="1" customWidth="1"/>
    <col min="24" max="24" width="12" style="1" bestFit="1" customWidth="1"/>
    <col min="25" max="25" width="9.77734375" style="1" customWidth="1"/>
    <col min="26" max="26" width="8.109375" style="1" customWidth="1"/>
    <col min="27" max="27" width="22.33203125" style="1" bestFit="1" customWidth="1"/>
    <col min="28" max="28" width="9.21875" style="1" bestFit="1" customWidth="1"/>
    <col min="29" max="29" width="10.21875" style="1" bestFit="1" customWidth="1"/>
    <col min="30" max="30" width="9.21875" style="1" bestFit="1" customWidth="1"/>
    <col min="31" max="31" width="10.21875" style="1" bestFit="1" customWidth="1"/>
    <col min="32" max="32" width="9.21875" style="1" bestFit="1" customWidth="1"/>
    <col min="33" max="33" width="10.21875" style="1" bestFit="1" customWidth="1"/>
    <col min="34" max="34" width="9.21875" style="1" bestFit="1" customWidth="1"/>
    <col min="35" max="35" width="10.21875" style="1" bestFit="1" customWidth="1"/>
    <col min="36" max="16384" width="9.109375" style="1"/>
  </cols>
  <sheetData>
    <row r="1" spans="2:35" ht="14.4" thickBot="1" x14ac:dyDescent="0.3">
      <c r="B1" s="689"/>
      <c r="C1" s="689"/>
      <c r="D1" s="689"/>
      <c r="E1" s="689"/>
      <c r="F1" s="689"/>
      <c r="G1" s="689"/>
      <c r="H1" s="689"/>
      <c r="I1" s="689"/>
      <c r="J1" s="689"/>
      <c r="K1" s="689"/>
      <c r="N1" s="738" t="s">
        <v>498</v>
      </c>
    </row>
    <row r="2" spans="2:35" ht="16.2" thickBot="1" x14ac:dyDescent="0.35">
      <c r="B2" s="1058" t="s">
        <v>481</v>
      </c>
      <c r="C2" s="1059"/>
      <c r="D2" s="1059"/>
      <c r="E2" s="1059"/>
      <c r="F2" s="1059"/>
      <c r="G2" s="1059"/>
      <c r="H2" s="1059"/>
      <c r="I2" s="1059"/>
      <c r="J2" s="1059"/>
      <c r="K2" s="1060"/>
      <c r="N2" s="1079" t="s">
        <v>539</v>
      </c>
      <c r="O2" s="1080"/>
      <c r="P2" s="1080"/>
      <c r="Q2" s="1080"/>
      <c r="R2" s="1080"/>
      <c r="S2" s="1080"/>
      <c r="T2" s="1080"/>
      <c r="U2" s="1080"/>
      <c r="V2" s="1080"/>
      <c r="W2" s="1081"/>
      <c r="AF2" s="1">
        <f>3276484-2639359</f>
        <v>637125</v>
      </c>
    </row>
    <row r="3" spans="2:35" ht="16.2" thickBot="1" x14ac:dyDescent="0.35">
      <c r="B3" s="1061" t="s">
        <v>269</v>
      </c>
      <c r="C3" s="1062"/>
      <c r="D3" s="1062"/>
      <c r="E3" s="1062"/>
      <c r="F3" s="1062"/>
      <c r="G3" s="1062"/>
      <c r="H3" s="1062"/>
      <c r="I3" s="1062"/>
      <c r="J3" s="1062"/>
      <c r="K3" s="1063"/>
      <c r="N3" s="985" t="s">
        <v>269</v>
      </c>
      <c r="O3" s="986"/>
      <c r="P3" s="986"/>
      <c r="Q3" s="986"/>
      <c r="R3" s="986"/>
      <c r="S3" s="986"/>
      <c r="T3" s="986"/>
      <c r="U3" s="986"/>
      <c r="V3" s="986"/>
      <c r="W3" s="987"/>
    </row>
    <row r="4" spans="2:35" ht="16.2" thickBot="1" x14ac:dyDescent="0.35">
      <c r="B4" s="1061" t="s">
        <v>348</v>
      </c>
      <c r="C4" s="1062"/>
      <c r="D4" s="1062"/>
      <c r="E4" s="1062"/>
      <c r="F4" s="1062"/>
      <c r="G4" s="1062"/>
      <c r="H4" s="1062"/>
      <c r="I4" s="1062"/>
      <c r="J4" s="1062"/>
      <c r="K4" s="1063"/>
      <c r="N4" s="985" t="s">
        <v>348</v>
      </c>
      <c r="O4" s="986"/>
      <c r="P4" s="986"/>
      <c r="Q4" s="986"/>
      <c r="R4" s="986"/>
      <c r="S4" s="986"/>
      <c r="T4" s="986"/>
      <c r="U4" s="986"/>
      <c r="V4" s="986"/>
      <c r="W4" s="987"/>
    </row>
    <row r="5" spans="2:35" ht="18" customHeight="1" x14ac:dyDescent="0.25">
      <c r="B5" s="1064" t="s">
        <v>300</v>
      </c>
      <c r="C5" s="1050" t="s">
        <v>349</v>
      </c>
      <c r="D5" s="1050"/>
      <c r="E5" s="1053" t="s">
        <v>56</v>
      </c>
      <c r="F5" s="1054"/>
      <c r="G5" s="1054"/>
      <c r="H5" s="1054"/>
      <c r="I5" s="1054"/>
      <c r="J5" s="1054"/>
      <c r="K5" s="1055"/>
      <c r="N5" s="1082" t="s">
        <v>300</v>
      </c>
      <c r="O5" s="1085" t="s">
        <v>349</v>
      </c>
      <c r="P5" s="1085"/>
      <c r="Q5" s="1088" t="s">
        <v>56</v>
      </c>
      <c r="R5" s="1089"/>
      <c r="S5" s="1089"/>
      <c r="T5" s="1089"/>
      <c r="U5" s="1089"/>
      <c r="V5" s="1089"/>
      <c r="W5" s="1090"/>
    </row>
    <row r="6" spans="2:35" ht="18" customHeight="1" x14ac:dyDescent="0.3">
      <c r="B6" s="1065"/>
      <c r="C6" s="1051"/>
      <c r="D6" s="1051"/>
      <c r="E6" s="1056" t="s">
        <v>465</v>
      </c>
      <c r="F6" s="1057"/>
      <c r="G6" s="1056" t="s">
        <v>350</v>
      </c>
      <c r="H6" s="1057"/>
      <c r="I6" s="690" t="s">
        <v>489</v>
      </c>
      <c r="J6" s="1056" t="s">
        <v>351</v>
      </c>
      <c r="K6" s="1067"/>
      <c r="N6" s="1083"/>
      <c r="O6" s="1086"/>
      <c r="P6" s="1086"/>
      <c r="Q6" s="1091" t="s">
        <v>465</v>
      </c>
      <c r="R6" s="1092"/>
      <c r="S6" s="1093" t="s">
        <v>350</v>
      </c>
      <c r="T6" s="1094"/>
      <c r="U6" s="783" t="s">
        <v>519</v>
      </c>
      <c r="V6" s="1093" t="s">
        <v>351</v>
      </c>
      <c r="W6" s="1095"/>
      <c r="Z6" t="s">
        <v>499</v>
      </c>
    </row>
    <row r="7" spans="2:35" ht="16.5" customHeight="1" x14ac:dyDescent="0.3">
      <c r="B7" s="1066"/>
      <c r="C7" s="1052"/>
      <c r="D7" s="1052"/>
      <c r="E7" s="691" t="s">
        <v>223</v>
      </c>
      <c r="F7" s="691" t="s">
        <v>224</v>
      </c>
      <c r="G7" s="691" t="s">
        <v>223</v>
      </c>
      <c r="H7" s="691" t="s">
        <v>224</v>
      </c>
      <c r="I7" s="691" t="s">
        <v>224</v>
      </c>
      <c r="J7" s="691" t="s">
        <v>223</v>
      </c>
      <c r="K7" s="692" t="s">
        <v>224</v>
      </c>
      <c r="N7" s="1084"/>
      <c r="O7" s="1087"/>
      <c r="P7" s="1087"/>
      <c r="Q7" s="572" t="s">
        <v>223</v>
      </c>
      <c r="R7" s="572" t="s">
        <v>224</v>
      </c>
      <c r="S7" s="572" t="s">
        <v>223</v>
      </c>
      <c r="T7" s="572" t="s">
        <v>224</v>
      </c>
      <c r="U7" s="572" t="s">
        <v>224</v>
      </c>
      <c r="V7" s="572" t="s">
        <v>223</v>
      </c>
      <c r="W7" s="573" t="s">
        <v>224</v>
      </c>
      <c r="Y7"/>
      <c r="Z7" s="1104" t="s">
        <v>510</v>
      </c>
      <c r="AA7" s="1105"/>
      <c r="AB7" s="1105"/>
      <c r="AC7" s="1105"/>
      <c r="AD7" s="1105"/>
      <c r="AE7" s="1105"/>
      <c r="AF7" s="1105"/>
      <c r="AG7" s="1105"/>
      <c r="AH7" s="1105"/>
      <c r="AI7" s="1106"/>
    </row>
    <row r="8" spans="2:35" ht="16.2" thickBot="1" x14ac:dyDescent="0.35">
      <c r="B8" s="693">
        <v>1</v>
      </c>
      <c r="C8" s="694">
        <v>2</v>
      </c>
      <c r="D8" s="694">
        <v>3</v>
      </c>
      <c r="E8" s="1068">
        <v>4</v>
      </c>
      <c r="F8" s="1069"/>
      <c r="G8" s="1068">
        <v>5</v>
      </c>
      <c r="H8" s="1069"/>
      <c r="I8" s="695"/>
      <c r="J8" s="1068">
        <v>6</v>
      </c>
      <c r="K8" s="1070"/>
      <c r="N8" s="388">
        <v>1</v>
      </c>
      <c r="O8" s="571">
        <v>2</v>
      </c>
      <c r="P8" s="571">
        <v>3</v>
      </c>
      <c r="Q8" s="1101">
        <v>4</v>
      </c>
      <c r="R8" s="1102"/>
      <c r="S8" s="1101">
        <v>5</v>
      </c>
      <c r="T8" s="1102"/>
      <c r="U8" s="784">
        <v>6</v>
      </c>
      <c r="V8" s="1101">
        <v>7</v>
      </c>
      <c r="W8" s="1103"/>
      <c r="Z8" s="739" t="s">
        <v>300</v>
      </c>
      <c r="AA8" s="739" t="s">
        <v>349</v>
      </c>
      <c r="AB8" s="740">
        <v>42826</v>
      </c>
      <c r="AC8" s="740">
        <v>42826</v>
      </c>
      <c r="AD8" s="741">
        <v>43191</v>
      </c>
      <c r="AE8" s="741">
        <v>43191</v>
      </c>
      <c r="AF8" s="740">
        <v>43556</v>
      </c>
      <c r="AG8" s="740">
        <v>43556</v>
      </c>
      <c r="AH8" s="741">
        <v>43922</v>
      </c>
      <c r="AI8" s="741">
        <v>43922</v>
      </c>
    </row>
    <row r="9" spans="2:35" ht="15.6" x14ac:dyDescent="0.3">
      <c r="B9" s="696">
        <v>1</v>
      </c>
      <c r="C9" s="697" t="s">
        <v>58</v>
      </c>
      <c r="D9" s="698"/>
      <c r="E9" s="699">
        <v>0</v>
      </c>
      <c r="F9" s="699">
        <v>18895000</v>
      </c>
      <c r="G9" s="699">
        <v>0</v>
      </c>
      <c r="H9" s="699">
        <v>0</v>
      </c>
      <c r="I9" s="700"/>
      <c r="J9" s="700">
        <f>+E9+G9</f>
        <v>0</v>
      </c>
      <c r="K9" s="701">
        <f>+F9+H9-I9</f>
        <v>18895000</v>
      </c>
      <c r="N9" s="389">
        <v>1</v>
      </c>
      <c r="O9" s="390" t="s">
        <v>500</v>
      </c>
      <c r="P9" s="391"/>
      <c r="Q9" s="392">
        <v>0</v>
      </c>
      <c r="R9" s="392">
        <v>18895000</v>
      </c>
      <c r="S9" s="392">
        <v>0</v>
      </c>
      <c r="T9" s="392">
        <v>0</v>
      </c>
      <c r="U9" s="393"/>
      <c r="V9" s="393">
        <f>+Q9+S9</f>
        <v>0</v>
      </c>
      <c r="W9" s="394">
        <f t="shared" ref="W9:W10" si="0">+R9+T9-U9</f>
        <v>18895000</v>
      </c>
      <c r="Z9" s="739"/>
      <c r="AA9" s="739"/>
      <c r="AB9" s="742" t="s">
        <v>501</v>
      </c>
      <c r="AC9" s="742" t="s">
        <v>502</v>
      </c>
      <c r="AD9" s="743" t="s">
        <v>501</v>
      </c>
      <c r="AE9" s="743" t="s">
        <v>502</v>
      </c>
      <c r="AF9" s="742" t="s">
        <v>501</v>
      </c>
      <c r="AG9" s="742" t="s">
        <v>502</v>
      </c>
      <c r="AH9" s="743" t="s">
        <v>501</v>
      </c>
      <c r="AI9" s="743" t="s">
        <v>502</v>
      </c>
    </row>
    <row r="10" spans="2:35" ht="15.6" x14ac:dyDescent="0.3">
      <c r="B10" s="702">
        <v>2</v>
      </c>
      <c r="C10" s="703" t="s">
        <v>352</v>
      </c>
      <c r="D10" s="704"/>
      <c r="E10" s="705">
        <v>0</v>
      </c>
      <c r="F10" s="705">
        <v>66194543.079999998</v>
      </c>
      <c r="G10" s="705">
        <v>0</v>
      </c>
      <c r="H10" s="705">
        <v>0</v>
      </c>
      <c r="I10" s="705"/>
      <c r="J10" s="705">
        <f t="shared" ref="J10:J17" si="1">+E10+G10</f>
        <v>0</v>
      </c>
      <c r="K10" s="701">
        <f t="shared" ref="K10:K17" si="2">+F10+H10-I10</f>
        <v>66194543.079999998</v>
      </c>
      <c r="M10" s="127">
        <f>G10+H10</f>
        <v>0</v>
      </c>
      <c r="N10" s="395">
        <v>2</v>
      </c>
      <c r="O10" s="396" t="s">
        <v>503</v>
      </c>
      <c r="P10" s="397"/>
      <c r="Q10" s="398">
        <v>183866335</v>
      </c>
      <c r="R10" s="398">
        <v>66194543.079999998</v>
      </c>
      <c r="S10" s="398">
        <v>0</v>
      </c>
      <c r="T10" s="398">
        <v>0</v>
      </c>
      <c r="U10" s="398"/>
      <c r="V10" s="398">
        <f t="shared" ref="V10:V17" si="3">+Q10+S10</f>
        <v>183866335</v>
      </c>
      <c r="W10" s="394">
        <f t="shared" si="0"/>
        <v>66194543.079999998</v>
      </c>
      <c r="Z10" s="744">
        <v>1</v>
      </c>
      <c r="AA10" s="745" t="s">
        <v>500</v>
      </c>
      <c r="AB10" s="745"/>
      <c r="AC10" s="746">
        <v>18895000</v>
      </c>
      <c r="AD10" s="747"/>
      <c r="AE10" s="747">
        <f>AC10</f>
        <v>18895000</v>
      </c>
      <c r="AF10" s="746"/>
      <c r="AG10" s="746">
        <f>AE10</f>
        <v>18895000</v>
      </c>
      <c r="AH10" s="747"/>
      <c r="AI10" s="747">
        <f>AG10</f>
        <v>18895000</v>
      </c>
    </row>
    <row r="11" spans="2:35" ht="15.6" x14ac:dyDescent="0.3">
      <c r="B11" s="702">
        <v>3</v>
      </c>
      <c r="C11" s="706" t="s">
        <v>353</v>
      </c>
      <c r="D11" s="704"/>
      <c r="E11" s="705">
        <v>2639359</v>
      </c>
      <c r="F11" s="705">
        <v>242195980.19999999</v>
      </c>
      <c r="G11" s="705">
        <v>166314000</v>
      </c>
      <c r="H11" s="705">
        <v>31668307.340000004</v>
      </c>
      <c r="I11" s="705"/>
      <c r="J11" s="705">
        <f t="shared" si="1"/>
        <v>168953359</v>
      </c>
      <c r="K11" s="701">
        <f t="shared" si="2"/>
        <v>273864287.53999996</v>
      </c>
      <c r="M11" s="127">
        <f t="shared" ref="M11:M18" si="4">G11+H11</f>
        <v>197982307.34</v>
      </c>
      <c r="N11" s="395">
        <v>3</v>
      </c>
      <c r="O11" s="400" t="s">
        <v>504</v>
      </c>
      <c r="P11" s="397"/>
      <c r="Q11" s="398">
        <v>168953539</v>
      </c>
      <c r="R11" s="398">
        <v>255991492.34</v>
      </c>
      <c r="S11" s="398">
        <v>0</v>
      </c>
      <c r="T11" s="398">
        <v>0</v>
      </c>
      <c r="U11" s="398">
        <v>0</v>
      </c>
      <c r="V11" s="398">
        <f t="shared" si="3"/>
        <v>168953539</v>
      </c>
      <c r="W11" s="394">
        <f>+R11+T11-U11</f>
        <v>255991492.34</v>
      </c>
      <c r="Z11" s="744">
        <v>2</v>
      </c>
      <c r="AA11" s="745" t="s">
        <v>503</v>
      </c>
      <c r="AB11" s="745"/>
      <c r="AC11" s="746">
        <v>66194543.079999998</v>
      </c>
      <c r="AD11" s="747"/>
      <c r="AE11" s="747">
        <f>AC11</f>
        <v>66194543.079999998</v>
      </c>
      <c r="AF11" s="746"/>
      <c r="AG11" s="746">
        <f>AE11</f>
        <v>66194543.079999998</v>
      </c>
      <c r="AH11" s="747"/>
      <c r="AI11" s="747">
        <f>AG11</f>
        <v>66194543.079999998</v>
      </c>
    </row>
    <row r="12" spans="2:35" ht="15.6" x14ac:dyDescent="0.3">
      <c r="B12" s="702">
        <v>7</v>
      </c>
      <c r="C12" s="706" t="s">
        <v>242</v>
      </c>
      <c r="D12" s="704"/>
      <c r="E12" s="705">
        <v>0</v>
      </c>
      <c r="F12" s="705">
        <v>8985138</v>
      </c>
      <c r="G12" s="705">
        <v>0</v>
      </c>
      <c r="H12" s="705">
        <v>0</v>
      </c>
      <c r="I12" s="705"/>
      <c r="J12" s="705">
        <f t="shared" si="1"/>
        <v>0</v>
      </c>
      <c r="K12" s="701">
        <f t="shared" si="2"/>
        <v>8985138</v>
      </c>
      <c r="M12" s="127">
        <f t="shared" si="4"/>
        <v>0</v>
      </c>
      <c r="N12" s="395">
        <v>7</v>
      </c>
      <c r="O12" s="400" t="s">
        <v>505</v>
      </c>
      <c r="P12" s="397"/>
      <c r="Q12" s="398">
        <v>2191000</v>
      </c>
      <c r="R12" s="398">
        <v>15478340</v>
      </c>
      <c r="S12" s="398">
        <v>7509561</v>
      </c>
      <c r="T12" s="398">
        <v>26153261</v>
      </c>
      <c r="U12" s="398"/>
      <c r="V12" s="398">
        <f t="shared" si="3"/>
        <v>9700561</v>
      </c>
      <c r="W12" s="394">
        <f t="shared" ref="W12:W17" si="5">+R12+T12-U12</f>
        <v>41631601</v>
      </c>
      <c r="Z12" s="744">
        <v>3</v>
      </c>
      <c r="AA12" s="748" t="s">
        <v>504</v>
      </c>
      <c r="AB12" s="748"/>
      <c r="AC12" s="746">
        <v>222692783.19999999</v>
      </c>
      <c r="AD12" s="747">
        <v>2639539</v>
      </c>
      <c r="AE12" s="749">
        <f>AC12+637125</f>
        <v>223329908.19999999</v>
      </c>
      <c r="AF12" s="750">
        <f>AD12</f>
        <v>2639539</v>
      </c>
      <c r="AG12" s="750">
        <f>AE12+1166119</f>
        <v>224496027.19999999</v>
      </c>
      <c r="AH12" s="749">
        <f>AF12</f>
        <v>2639539</v>
      </c>
      <c r="AI12" s="751">
        <f>AG12</f>
        <v>224496027.19999999</v>
      </c>
    </row>
    <row r="13" spans="2:35" ht="15.6" x14ac:dyDescent="0.3">
      <c r="B13" s="702">
        <v>8</v>
      </c>
      <c r="C13" s="706" t="s">
        <v>354</v>
      </c>
      <c r="D13" s="704"/>
      <c r="E13" s="705">
        <v>0</v>
      </c>
      <c r="F13" s="705">
        <v>2443109.5</v>
      </c>
      <c r="G13" s="705">
        <v>0</v>
      </c>
      <c r="H13" s="705">
        <v>0</v>
      </c>
      <c r="I13" s="707"/>
      <c r="J13" s="707">
        <f t="shared" si="1"/>
        <v>0</v>
      </c>
      <c r="K13" s="701">
        <f t="shared" si="2"/>
        <v>2443109.5</v>
      </c>
      <c r="M13" s="127">
        <f t="shared" si="4"/>
        <v>0</v>
      </c>
      <c r="N13" s="395">
        <v>8</v>
      </c>
      <c r="O13" s="400" t="s">
        <v>506</v>
      </c>
      <c r="P13" s="397"/>
      <c r="Q13" s="398">
        <v>11420125</v>
      </c>
      <c r="R13" s="398">
        <v>7365573.5</v>
      </c>
      <c r="S13" s="398">
        <v>0</v>
      </c>
      <c r="T13" s="398">
        <f>916499+574650</f>
        <v>1491149</v>
      </c>
      <c r="U13" s="577"/>
      <c r="V13" s="577">
        <f t="shared" si="3"/>
        <v>11420125</v>
      </c>
      <c r="W13" s="394">
        <f t="shared" si="5"/>
        <v>8856722.5</v>
      </c>
      <c r="Z13" s="744">
        <v>4</v>
      </c>
      <c r="AA13" s="748" t="s">
        <v>505</v>
      </c>
      <c r="AB13" s="748"/>
      <c r="AC13" s="746">
        <v>8985138</v>
      </c>
      <c r="AD13" s="747"/>
      <c r="AE13" s="751">
        <f>AC13</f>
        <v>8985138</v>
      </c>
      <c r="AF13" s="752">
        <v>2191000</v>
      </c>
      <c r="AG13" s="750">
        <f>AE13+755654</f>
        <v>9740792</v>
      </c>
      <c r="AH13" s="749">
        <f>AF13</f>
        <v>2191000</v>
      </c>
      <c r="AI13" s="749">
        <f>AG13+5737548</f>
        <v>15478340</v>
      </c>
    </row>
    <row r="14" spans="2:35" ht="15.6" x14ac:dyDescent="0.3">
      <c r="B14" s="702">
        <v>9</v>
      </c>
      <c r="C14" s="706" t="s">
        <v>355</v>
      </c>
      <c r="D14" s="704"/>
      <c r="E14" s="705">
        <v>0</v>
      </c>
      <c r="F14" s="705">
        <v>694067.76</v>
      </c>
      <c r="G14" s="705">
        <v>0</v>
      </c>
      <c r="H14" s="705">
        <v>0</v>
      </c>
      <c r="I14" s="705"/>
      <c r="J14" s="705">
        <f t="shared" si="1"/>
        <v>0</v>
      </c>
      <c r="K14" s="701">
        <f t="shared" si="2"/>
        <v>694067.76</v>
      </c>
      <c r="M14" s="127">
        <f t="shared" si="4"/>
        <v>0</v>
      </c>
      <c r="N14" s="395">
        <v>9</v>
      </c>
      <c r="O14" s="400" t="s">
        <v>507</v>
      </c>
      <c r="P14" s="397"/>
      <c r="Q14" s="398">
        <v>0</v>
      </c>
      <c r="R14" s="398">
        <v>694067.76</v>
      </c>
      <c r="S14" s="398">
        <v>0</v>
      </c>
      <c r="T14" s="398">
        <v>0</v>
      </c>
      <c r="U14" s="398"/>
      <c r="V14" s="398">
        <f t="shared" si="3"/>
        <v>0</v>
      </c>
      <c r="W14" s="394">
        <f t="shared" si="5"/>
        <v>694067.76</v>
      </c>
      <c r="Z14" s="744">
        <v>5</v>
      </c>
      <c r="AA14" s="748" t="s">
        <v>506</v>
      </c>
      <c r="AB14" s="748"/>
      <c r="AC14" s="746">
        <v>2441018.5</v>
      </c>
      <c r="AD14" s="747"/>
      <c r="AE14" s="749">
        <f>AC14+2091</f>
        <v>2443109.5</v>
      </c>
      <c r="AF14" s="750">
        <v>11420125</v>
      </c>
      <c r="AG14" s="750">
        <f>AE14+2015464</f>
        <v>4458573.5</v>
      </c>
      <c r="AH14" s="749">
        <f>AF14</f>
        <v>11420125</v>
      </c>
      <c r="AI14" s="751">
        <f>AG14+2907000</f>
        <v>7365573.5</v>
      </c>
    </row>
    <row r="15" spans="2:35" ht="15.6" x14ac:dyDescent="0.3">
      <c r="B15" s="702">
        <v>10</v>
      </c>
      <c r="C15" s="706" t="s">
        <v>356</v>
      </c>
      <c r="D15" s="704"/>
      <c r="E15" s="705">
        <v>13611125</v>
      </c>
      <c r="F15" s="705">
        <v>37242243</v>
      </c>
      <c r="G15" s="705">
        <v>0</v>
      </c>
      <c r="H15" s="705">
        <v>574650</v>
      </c>
      <c r="I15" s="705">
        <v>15988241</v>
      </c>
      <c r="J15" s="705">
        <f t="shared" si="1"/>
        <v>13611125</v>
      </c>
      <c r="K15" s="701">
        <f t="shared" si="2"/>
        <v>21828652</v>
      </c>
      <c r="M15" s="127">
        <f t="shared" si="4"/>
        <v>574650</v>
      </c>
      <c r="N15" s="395">
        <v>10</v>
      </c>
      <c r="O15" s="400" t="s">
        <v>508</v>
      </c>
      <c r="P15" s="397"/>
      <c r="Q15" s="398">
        <v>0</v>
      </c>
      <c r="R15" s="398">
        <v>9685784</v>
      </c>
      <c r="S15" s="398">
        <v>0</v>
      </c>
      <c r="T15" s="398">
        <v>0</v>
      </c>
      <c r="U15" s="398"/>
      <c r="V15" s="398">
        <f t="shared" si="3"/>
        <v>0</v>
      </c>
      <c r="W15" s="394">
        <f t="shared" si="5"/>
        <v>9685784</v>
      </c>
      <c r="Z15" s="744">
        <v>6</v>
      </c>
      <c r="AA15" s="748" t="s">
        <v>507</v>
      </c>
      <c r="AB15" s="748"/>
      <c r="AC15" s="746">
        <v>694067.76</v>
      </c>
      <c r="AD15" s="747"/>
      <c r="AE15" s="751">
        <v>694067.76</v>
      </c>
      <c r="AF15" s="752"/>
      <c r="AG15" s="752">
        <v>694067.76</v>
      </c>
      <c r="AH15" s="751"/>
      <c r="AI15" s="751">
        <f t="shared" ref="AI15:AI16" si="6">AG15</f>
        <v>694067.76</v>
      </c>
    </row>
    <row r="16" spans="2:35" ht="15.6" x14ac:dyDescent="0.3">
      <c r="B16" s="702">
        <v>11</v>
      </c>
      <c r="C16" s="706" t="s">
        <v>59</v>
      </c>
      <c r="D16" s="704"/>
      <c r="E16" s="705">
        <v>0</v>
      </c>
      <c r="F16" s="705">
        <v>0</v>
      </c>
      <c r="G16" s="705">
        <v>0</v>
      </c>
      <c r="H16" s="705">
        <v>0</v>
      </c>
      <c r="I16" s="705"/>
      <c r="J16" s="705">
        <f t="shared" si="1"/>
        <v>0</v>
      </c>
      <c r="K16" s="701">
        <f t="shared" si="2"/>
        <v>0</v>
      </c>
      <c r="M16" s="127">
        <f t="shared" si="4"/>
        <v>0</v>
      </c>
      <c r="N16" s="395">
        <v>11</v>
      </c>
      <c r="O16" s="400" t="s">
        <v>509</v>
      </c>
      <c r="P16" s="397"/>
      <c r="Q16" s="398">
        <v>0</v>
      </c>
      <c r="R16" s="398">
        <v>626167</v>
      </c>
      <c r="S16" s="398">
        <v>0</v>
      </c>
      <c r="T16" s="398">
        <v>0</v>
      </c>
      <c r="U16" s="398"/>
      <c r="V16" s="398">
        <f t="shared" si="3"/>
        <v>0</v>
      </c>
      <c r="W16" s="394">
        <f t="shared" si="5"/>
        <v>626167</v>
      </c>
      <c r="Z16" s="744">
        <v>7</v>
      </c>
      <c r="AA16" s="748" t="s">
        <v>508</v>
      </c>
      <c r="AB16" s="748"/>
      <c r="AC16" s="746">
        <v>8167903</v>
      </c>
      <c r="AD16" s="747"/>
      <c r="AE16" s="749">
        <f>AC16+179000</f>
        <v>8346903</v>
      </c>
      <c r="AF16" s="750"/>
      <c r="AG16" s="750">
        <f>AE16+764231</f>
        <v>9111134</v>
      </c>
      <c r="AH16" s="749"/>
      <c r="AI16" s="751">
        <f t="shared" si="6"/>
        <v>9111134</v>
      </c>
    </row>
    <row r="17" spans="2:35" ht="15.6" x14ac:dyDescent="0.3">
      <c r="B17" s="702">
        <v>12</v>
      </c>
      <c r="C17" s="706" t="s">
        <v>60</v>
      </c>
      <c r="D17" s="704"/>
      <c r="E17" s="705">
        <v>0</v>
      </c>
      <c r="F17" s="705">
        <v>485930</v>
      </c>
      <c r="G17" s="705">
        <v>0</v>
      </c>
      <c r="H17" s="705">
        <v>140667</v>
      </c>
      <c r="I17" s="705"/>
      <c r="J17" s="705">
        <f t="shared" si="1"/>
        <v>0</v>
      </c>
      <c r="K17" s="701">
        <f t="shared" si="2"/>
        <v>626597</v>
      </c>
      <c r="M17" s="127">
        <f t="shared" si="4"/>
        <v>140667</v>
      </c>
      <c r="N17" s="683">
        <v>12</v>
      </c>
      <c r="O17" s="824" t="s">
        <v>570</v>
      </c>
      <c r="P17" s="684"/>
      <c r="Q17" s="685">
        <v>0</v>
      </c>
      <c r="R17" s="685">
        <v>0</v>
      </c>
      <c r="S17" s="685">
        <v>0</v>
      </c>
      <c r="T17" s="685">
        <v>306122</v>
      </c>
      <c r="U17" s="685"/>
      <c r="V17" s="398">
        <f t="shared" si="3"/>
        <v>0</v>
      </c>
      <c r="W17" s="394">
        <f t="shared" si="5"/>
        <v>306122</v>
      </c>
      <c r="Z17" s="744">
        <v>8</v>
      </c>
      <c r="AA17" s="748" t="s">
        <v>509</v>
      </c>
      <c r="AB17" s="748"/>
      <c r="AC17" s="746">
        <v>46500</v>
      </c>
      <c r="AD17" s="747"/>
      <c r="AE17" s="751">
        <v>46500</v>
      </c>
      <c r="AF17" s="752"/>
      <c r="AG17" s="752">
        <v>46500</v>
      </c>
      <c r="AH17" s="751"/>
      <c r="AI17" s="749">
        <f>AG17+439000</f>
        <v>485500</v>
      </c>
    </row>
    <row r="18" spans="2:35" ht="16.2" thickBot="1" x14ac:dyDescent="0.35">
      <c r="B18" s="708">
        <v>13</v>
      </c>
      <c r="C18" s="709" t="s">
        <v>22</v>
      </c>
      <c r="D18" s="710"/>
      <c r="E18" s="711">
        <f t="shared" ref="E18:K18" si="7">SUM(E9:E17)</f>
        <v>16250484</v>
      </c>
      <c r="F18" s="711">
        <f t="shared" si="7"/>
        <v>377136011.53999996</v>
      </c>
      <c r="G18" s="711">
        <f>SUM(G9:G17)</f>
        <v>166314000</v>
      </c>
      <c r="H18" s="711">
        <f t="shared" si="7"/>
        <v>32383624.340000004</v>
      </c>
      <c r="I18" s="711">
        <f t="shared" si="7"/>
        <v>15988241</v>
      </c>
      <c r="J18" s="711">
        <f t="shared" si="7"/>
        <v>182564484</v>
      </c>
      <c r="K18" s="712">
        <f t="shared" si="7"/>
        <v>393531394.87999994</v>
      </c>
      <c r="M18" s="127">
        <f t="shared" si="4"/>
        <v>198697624.34</v>
      </c>
      <c r="N18" s="401">
        <v>13</v>
      </c>
      <c r="O18" s="402" t="s">
        <v>22</v>
      </c>
      <c r="P18" s="403"/>
      <c r="Q18" s="404">
        <f>SUM(Q9:Q17)</f>
        <v>366430999</v>
      </c>
      <c r="R18" s="404">
        <f t="shared" ref="R18:W18" si="8">SUM(R9:R17)</f>
        <v>374930967.68000001</v>
      </c>
      <c r="S18" s="404">
        <f t="shared" si="8"/>
        <v>7509561</v>
      </c>
      <c r="T18" s="404">
        <f t="shared" si="8"/>
        <v>27950532</v>
      </c>
      <c r="U18" s="404">
        <f t="shared" si="8"/>
        <v>0</v>
      </c>
      <c r="V18" s="404">
        <f t="shared" si="8"/>
        <v>373940560</v>
      </c>
      <c r="W18" s="404">
        <f t="shared" si="8"/>
        <v>402881499.68000001</v>
      </c>
      <c r="X18" s="127">
        <f>R18+T18</f>
        <v>402881499.68000001</v>
      </c>
      <c r="Z18" s="753">
        <v>8</v>
      </c>
      <c r="AA18" s="754" t="s">
        <v>22</v>
      </c>
      <c r="AB18" s="752">
        <v>61205999.999999993</v>
      </c>
      <c r="AC18" s="755">
        <f>SUM(AC10:AC17)</f>
        <v>328116953.53999996</v>
      </c>
      <c r="AD18" s="751">
        <f>AB18+SUM(AD10:AD17)</f>
        <v>63845538.999999993</v>
      </c>
      <c r="AE18" s="751">
        <f t="shared" ref="AE18" si="9">SUM(AE10:AE17)</f>
        <v>328935169.53999996</v>
      </c>
      <c r="AF18" s="751">
        <f>AB18+SUM(AF10:AF17)</f>
        <v>77456664</v>
      </c>
      <c r="AG18" s="755">
        <f>SUM(AG10:AG17)</f>
        <v>333636637.53999996</v>
      </c>
      <c r="AH18" s="751">
        <f>AB18+SUM(AH10:AH17)</f>
        <v>77456664</v>
      </c>
      <c r="AI18" s="751">
        <f t="shared" ref="AI18" si="10">SUM(AI10:AI17)</f>
        <v>342720185.53999996</v>
      </c>
    </row>
    <row r="19" spans="2:35" ht="31.2" x14ac:dyDescent="0.3">
      <c r="B19" s="713"/>
      <c r="C19" s="719"/>
      <c r="D19" s="715"/>
      <c r="E19" s="720"/>
      <c r="F19" s="717"/>
      <c r="G19" s="717"/>
      <c r="H19" s="717"/>
      <c r="I19" s="717"/>
      <c r="J19" s="717"/>
      <c r="K19" s="718"/>
      <c r="M19" s="127"/>
      <c r="N19" s="756"/>
      <c r="O19" s="762" t="s">
        <v>496</v>
      </c>
      <c r="P19" s="758"/>
      <c r="Q19" s="769">
        <v>61205999.999999993</v>
      </c>
      <c r="R19" s="760"/>
      <c r="S19" s="760"/>
      <c r="T19" s="760"/>
      <c r="U19" s="760"/>
      <c r="V19" s="760"/>
      <c r="W19" s="761"/>
      <c r="X19" s="127"/>
      <c r="Z19" s="764"/>
      <c r="AA19" s="765"/>
      <c r="AB19" s="766"/>
      <c r="AC19" s="767"/>
      <c r="AD19" s="768"/>
      <c r="AE19" s="768"/>
      <c r="AF19" s="768"/>
      <c r="AG19" s="767"/>
      <c r="AH19" s="768"/>
      <c r="AI19" s="768"/>
    </row>
    <row r="20" spans="2:35" ht="16.2" thickBot="1" x14ac:dyDescent="0.35">
      <c r="B20" s="713"/>
      <c r="C20" s="719"/>
      <c r="D20" s="715"/>
      <c r="E20" s="720"/>
      <c r="F20" s="717"/>
      <c r="G20" s="717"/>
      <c r="H20" s="717"/>
      <c r="I20" s="717"/>
      <c r="J20" s="717"/>
      <c r="K20" s="718"/>
      <c r="M20" s="127"/>
      <c r="N20" s="756"/>
      <c r="O20" s="757"/>
      <c r="P20" s="758"/>
      <c r="Q20" s="763"/>
      <c r="R20" s="760"/>
      <c r="S20" s="760"/>
      <c r="T20" s="760"/>
      <c r="U20" s="760"/>
      <c r="V20" s="760"/>
      <c r="W20" s="761"/>
      <c r="X20" s="127"/>
      <c r="Z20" s="764"/>
      <c r="AA20" s="765"/>
      <c r="AB20" s="766"/>
      <c r="AC20" s="767"/>
      <c r="AD20" s="768"/>
      <c r="AE20" s="768"/>
      <c r="AF20" s="768"/>
      <c r="AG20" s="767"/>
      <c r="AH20" s="768"/>
      <c r="AI20" s="768"/>
    </row>
    <row r="21" spans="2:35" ht="31.2" x14ac:dyDescent="0.3">
      <c r="B21" s="713"/>
      <c r="C21" s="714" t="s">
        <v>496</v>
      </c>
      <c r="D21" s="715"/>
      <c r="E21" s="716">
        <v>61205999.999999993</v>
      </c>
      <c r="F21" s="717"/>
      <c r="G21" s="717"/>
      <c r="H21" s="717"/>
      <c r="I21" s="717"/>
      <c r="J21" s="717"/>
      <c r="K21" s="718"/>
      <c r="M21" s="127"/>
      <c r="N21" s="677" t="s">
        <v>300</v>
      </c>
      <c r="O21" s="680" t="s">
        <v>349</v>
      </c>
      <c r="P21" s="1085" t="s">
        <v>357</v>
      </c>
      <c r="Q21" s="1088" t="s">
        <v>358</v>
      </c>
      <c r="R21" s="1089"/>
      <c r="S21" s="1089"/>
      <c r="T21" s="1089"/>
      <c r="U21" s="1089"/>
      <c r="V21" s="1089"/>
      <c r="W21" s="1090"/>
      <c r="AE21" s="103">
        <f>AE18-AC18</f>
        <v>818216</v>
      </c>
      <c r="AG21" s="103">
        <f>AG18-AE18</f>
        <v>4701468</v>
      </c>
      <c r="AI21" s="103">
        <f>AI18-AG18</f>
        <v>9083548</v>
      </c>
    </row>
    <row r="22" spans="2:35" ht="27.75" customHeight="1" thickBot="1" x14ac:dyDescent="0.35">
      <c r="B22" s="713"/>
      <c r="C22" s="719"/>
      <c r="D22" s="715"/>
      <c r="E22" s="720"/>
      <c r="F22" s="717"/>
      <c r="G22" s="717"/>
      <c r="H22" s="717"/>
      <c r="I22" s="717"/>
      <c r="J22" s="717"/>
      <c r="K22" s="718"/>
      <c r="M22" s="127"/>
      <c r="N22" s="678"/>
      <c r="O22" s="681"/>
      <c r="P22" s="1086"/>
      <c r="Q22" s="1093" t="s">
        <v>359</v>
      </c>
      <c r="R22" s="1094"/>
      <c r="S22" s="1093" t="s">
        <v>350</v>
      </c>
      <c r="T22" s="1094"/>
      <c r="U22" s="783" t="s">
        <v>519</v>
      </c>
      <c r="V22" s="1093" t="s">
        <v>57</v>
      </c>
      <c r="W22" s="1095"/>
      <c r="AG22" s="103"/>
      <c r="AH22" s="103"/>
      <c r="AI22" s="103"/>
    </row>
    <row r="23" spans="2:35" ht="15.6" x14ac:dyDescent="0.3">
      <c r="B23" s="721" t="s">
        <v>300</v>
      </c>
      <c r="C23" s="722" t="s">
        <v>349</v>
      </c>
      <c r="D23" s="1050" t="s">
        <v>357</v>
      </c>
      <c r="E23" s="1053" t="s">
        <v>358</v>
      </c>
      <c r="F23" s="1054"/>
      <c r="G23" s="1054"/>
      <c r="H23" s="1054"/>
      <c r="I23" s="1054"/>
      <c r="J23" s="1054"/>
      <c r="K23" s="1055"/>
      <c r="N23" s="679"/>
      <c r="O23" s="682"/>
      <c r="P23" s="1087"/>
      <c r="Q23" s="572" t="s">
        <v>223</v>
      </c>
      <c r="R23" s="572" t="s">
        <v>224</v>
      </c>
      <c r="S23" s="572" t="s">
        <v>223</v>
      </c>
      <c r="T23" s="572" t="s">
        <v>224</v>
      </c>
      <c r="U23" s="572" t="s">
        <v>224</v>
      </c>
      <c r="V23" s="572" t="s">
        <v>223</v>
      </c>
      <c r="W23" s="573" t="s">
        <v>224</v>
      </c>
      <c r="AA23" s="127"/>
      <c r="AG23" s="103"/>
      <c r="AH23" s="103"/>
      <c r="AI23" s="103"/>
    </row>
    <row r="24" spans="2:35" ht="16.2" thickBot="1" x14ac:dyDescent="0.35">
      <c r="B24" s="723">
        <v>0</v>
      </c>
      <c r="C24" s="724">
        <v>0</v>
      </c>
      <c r="D24" s="1051"/>
      <c r="E24" s="1056" t="s">
        <v>359</v>
      </c>
      <c r="F24" s="1057"/>
      <c r="G24" s="1056" t="s">
        <v>350</v>
      </c>
      <c r="H24" s="1057"/>
      <c r="I24" s="690" t="s">
        <v>489</v>
      </c>
      <c r="J24" s="1056" t="s">
        <v>57</v>
      </c>
      <c r="K24" s="1067"/>
      <c r="N24" s="388">
        <v>1</v>
      </c>
      <c r="O24" s="571">
        <v>2</v>
      </c>
      <c r="P24" s="571">
        <v>3</v>
      </c>
      <c r="Q24" s="1101">
        <v>4</v>
      </c>
      <c r="R24" s="1102"/>
      <c r="S24" s="1101">
        <v>5</v>
      </c>
      <c r="T24" s="1102"/>
      <c r="U24" s="784">
        <v>6</v>
      </c>
      <c r="V24" s="1101">
        <v>7</v>
      </c>
      <c r="W24" s="1103"/>
      <c r="AG24" s="103"/>
      <c r="AH24" s="103"/>
      <c r="AI24" s="103"/>
    </row>
    <row r="25" spans="2:35" ht="16.5" customHeight="1" x14ac:dyDescent="0.3">
      <c r="B25" s="725">
        <v>0</v>
      </c>
      <c r="C25" s="726">
        <v>0</v>
      </c>
      <c r="D25" s="1052"/>
      <c r="E25" s="691" t="s">
        <v>223</v>
      </c>
      <c r="F25" s="691" t="s">
        <v>224</v>
      </c>
      <c r="G25" s="691" t="s">
        <v>223</v>
      </c>
      <c r="H25" s="691" t="s">
        <v>224</v>
      </c>
      <c r="I25" s="691" t="s">
        <v>224</v>
      </c>
      <c r="J25" s="691" t="s">
        <v>223</v>
      </c>
      <c r="K25" s="692" t="s">
        <v>224</v>
      </c>
      <c r="N25" s="389">
        <v>1</v>
      </c>
      <c r="O25" s="390" t="s">
        <v>500</v>
      </c>
      <c r="P25" s="391">
        <v>3.34</v>
      </c>
      <c r="Q25" s="686">
        <v>0</v>
      </c>
      <c r="R25" s="686">
        <v>8690930</v>
      </c>
      <c r="S25" s="392">
        <f t="shared" ref="S25:S33" si="11">S9*0</f>
        <v>0</v>
      </c>
      <c r="T25" s="670">
        <f t="shared" ref="T25:T33" si="12">(R9+T9*50%)*P25/100</f>
        <v>631093</v>
      </c>
      <c r="U25" s="785"/>
      <c r="V25" s="393">
        <f>+Q25+S25</f>
        <v>0</v>
      </c>
      <c r="W25" s="394">
        <f t="shared" ref="W25:W32" si="13">+R25+T25-U25</f>
        <v>9322023</v>
      </c>
      <c r="AA25" s="1">
        <v>67.97650999999999</v>
      </c>
    </row>
    <row r="26" spans="2:35" ht="16.2" thickBot="1" x14ac:dyDescent="0.35">
      <c r="B26" s="693">
        <v>1</v>
      </c>
      <c r="C26" s="694">
        <v>2</v>
      </c>
      <c r="D26" s="694">
        <v>3</v>
      </c>
      <c r="E26" s="1068">
        <v>4</v>
      </c>
      <c r="F26" s="1069"/>
      <c r="G26" s="1068">
        <v>5</v>
      </c>
      <c r="H26" s="1069"/>
      <c r="I26" s="695"/>
      <c r="J26" s="1068">
        <v>6</v>
      </c>
      <c r="K26" s="1070"/>
      <c r="N26" s="395">
        <v>2</v>
      </c>
      <c r="O26" s="396" t="s">
        <v>503</v>
      </c>
      <c r="P26" s="397">
        <v>5.28</v>
      </c>
      <c r="Q26" s="687">
        <v>0</v>
      </c>
      <c r="R26" s="687">
        <v>49160887.623871997</v>
      </c>
      <c r="S26" s="398">
        <f t="shared" si="11"/>
        <v>0</v>
      </c>
      <c r="T26" s="398">
        <f t="shared" si="12"/>
        <v>3495071.8746240004</v>
      </c>
      <c r="U26" s="398"/>
      <c r="V26" s="398">
        <f t="shared" ref="V26:W33" si="14">+Q26+S26</f>
        <v>0</v>
      </c>
      <c r="W26" s="394">
        <f t="shared" si="13"/>
        <v>52655959.498495996</v>
      </c>
      <c r="AA26" s="1">
        <v>386.75672000000003</v>
      </c>
    </row>
    <row r="27" spans="2:35" ht="15.6" x14ac:dyDescent="0.3">
      <c r="B27" s="696">
        <v>1</v>
      </c>
      <c r="C27" s="697" t="s">
        <v>58</v>
      </c>
      <c r="D27" s="698">
        <v>3.34</v>
      </c>
      <c r="E27" s="699" t="e">
        <f>+[1]FA!M10</f>
        <v>#REF!</v>
      </c>
      <c r="F27" s="699">
        <v>7429514</v>
      </c>
      <c r="G27" s="699">
        <v>0</v>
      </c>
      <c r="H27" s="727">
        <v>1595997.6666666667</v>
      </c>
      <c r="I27" s="700"/>
      <c r="J27" s="700" t="e">
        <f>+E27+G27</f>
        <v>#REF!</v>
      </c>
      <c r="K27" s="701">
        <f t="shared" ref="K27:K37" si="15">+F27+H27-I27</f>
        <v>9025511.666666666</v>
      </c>
      <c r="N27" s="395">
        <v>3</v>
      </c>
      <c r="O27" s="400" t="s">
        <v>504</v>
      </c>
      <c r="P27" s="397">
        <v>5.28</v>
      </c>
      <c r="Q27" s="687">
        <v>0</v>
      </c>
      <c r="R27" s="687">
        <v>163681316.10168001</v>
      </c>
      <c r="S27" s="398">
        <f t="shared" si="11"/>
        <v>0</v>
      </c>
      <c r="T27" s="398">
        <f>(R11-U11+T11*50%)*P27/100</f>
        <v>13516350.795552</v>
      </c>
      <c r="U27" s="398">
        <f>+U11*P27%*50%+U11*P27%</f>
        <v>0</v>
      </c>
      <c r="V27" s="398">
        <f t="shared" si="14"/>
        <v>0</v>
      </c>
      <c r="W27" s="394">
        <f t="shared" si="13"/>
        <v>177197666.897232</v>
      </c>
      <c r="AA27" s="1">
        <v>1239.63744</v>
      </c>
    </row>
    <row r="28" spans="2:35" ht="15.6" x14ac:dyDescent="0.3">
      <c r="B28" s="702">
        <v>2</v>
      </c>
      <c r="C28" s="703" t="s">
        <v>352</v>
      </c>
      <c r="D28" s="704">
        <v>5.28</v>
      </c>
      <c r="E28" s="705">
        <f>+[2]FA!M15</f>
        <v>0</v>
      </c>
      <c r="F28" s="705">
        <v>42936679.765632004</v>
      </c>
      <c r="G28" s="705">
        <v>0</v>
      </c>
      <c r="H28" s="705">
        <v>3562523.4187680008</v>
      </c>
      <c r="I28" s="705"/>
      <c r="J28" s="705">
        <f t="shared" ref="J28:J37" si="16">+E28+G28</f>
        <v>0</v>
      </c>
      <c r="K28" s="701">
        <f t="shared" si="15"/>
        <v>46499203.184400007</v>
      </c>
      <c r="N28" s="395">
        <v>7</v>
      </c>
      <c r="O28" s="400" t="s">
        <v>505</v>
      </c>
      <c r="P28" s="397">
        <v>5.28</v>
      </c>
      <c r="Q28" s="687">
        <v>0</v>
      </c>
      <c r="R28" s="687">
        <v>8474265.0559999999</v>
      </c>
      <c r="S28" s="398">
        <f t="shared" si="11"/>
        <v>0</v>
      </c>
      <c r="T28" s="398">
        <f t="shared" si="12"/>
        <v>1507702.4424000001</v>
      </c>
      <c r="U28" s="398"/>
      <c r="V28" s="398">
        <f t="shared" si="14"/>
        <v>0</v>
      </c>
      <c r="W28" s="394">
        <f t="shared" si="13"/>
        <v>9981967.498399999</v>
      </c>
      <c r="AA28" s="1">
        <v>60.224959999999982</v>
      </c>
    </row>
    <row r="29" spans="2:35" ht="15.6" x14ac:dyDescent="0.3">
      <c r="B29" s="702">
        <v>3</v>
      </c>
      <c r="C29" s="706" t="s">
        <v>353</v>
      </c>
      <c r="D29" s="704">
        <v>5.28</v>
      </c>
      <c r="E29" s="705">
        <f>+[2]FA!M16</f>
        <v>0</v>
      </c>
      <c r="F29" s="705">
        <v>137871627.58728001</v>
      </c>
      <c r="G29" s="705">
        <v>0</v>
      </c>
      <c r="H29" s="705">
        <v>13009422.136095999</v>
      </c>
      <c r="I29" s="705"/>
      <c r="J29" s="705">
        <f t="shared" si="16"/>
        <v>0</v>
      </c>
      <c r="K29" s="701">
        <f t="shared" si="15"/>
        <v>150881049.72337601</v>
      </c>
      <c r="N29" s="395">
        <v>8</v>
      </c>
      <c r="O29" s="400" t="s">
        <v>506</v>
      </c>
      <c r="P29" s="397">
        <v>5.28</v>
      </c>
      <c r="Q29" s="687">
        <v>0</v>
      </c>
      <c r="R29" s="687">
        <v>3064254.8423999995</v>
      </c>
      <c r="S29" s="398">
        <f t="shared" si="11"/>
        <v>0</v>
      </c>
      <c r="T29" s="398">
        <f t="shared" si="12"/>
        <v>428268.61440000008</v>
      </c>
      <c r="U29" s="398"/>
      <c r="V29" s="398">
        <f t="shared" si="14"/>
        <v>0</v>
      </c>
      <c r="W29" s="394">
        <f t="shared" si="13"/>
        <v>3492523.4567999998</v>
      </c>
      <c r="AA29" s="1">
        <v>18.975479999999997</v>
      </c>
    </row>
    <row r="30" spans="2:35" ht="15.6" x14ac:dyDescent="0.3">
      <c r="B30" s="702">
        <v>7</v>
      </c>
      <c r="C30" s="706" t="s">
        <v>242</v>
      </c>
      <c r="D30" s="704">
        <v>5.28</v>
      </c>
      <c r="E30" s="705">
        <f>+[2]FA!M17</f>
        <v>0</v>
      </c>
      <c r="F30" s="705">
        <v>7158777.9552000007</v>
      </c>
      <c r="G30" s="705">
        <v>0</v>
      </c>
      <c r="H30" s="705">
        <v>614337.66480000014</v>
      </c>
      <c r="I30" s="705"/>
      <c r="J30" s="705">
        <f t="shared" si="16"/>
        <v>0</v>
      </c>
      <c r="K30" s="701">
        <f t="shared" si="15"/>
        <v>7773115.620000001</v>
      </c>
      <c r="N30" s="395">
        <v>9</v>
      </c>
      <c r="O30" s="400" t="s">
        <v>507</v>
      </c>
      <c r="P30" s="397">
        <v>5.28</v>
      </c>
      <c r="Q30" s="687">
        <v>0</v>
      </c>
      <c r="R30" s="687">
        <v>367612.33318400005</v>
      </c>
      <c r="S30" s="398">
        <f t="shared" si="11"/>
        <v>0</v>
      </c>
      <c r="T30" s="398">
        <f t="shared" si="12"/>
        <v>36646.777728000001</v>
      </c>
      <c r="U30" s="398"/>
      <c r="V30" s="398">
        <f t="shared" si="14"/>
        <v>0</v>
      </c>
      <c r="W30" s="394">
        <f t="shared" si="13"/>
        <v>404259.11091200006</v>
      </c>
      <c r="AA30" s="1">
        <v>2.5767200000000003</v>
      </c>
    </row>
    <row r="31" spans="2:35" ht="15.6" x14ac:dyDescent="0.3">
      <c r="B31" s="702">
        <v>8</v>
      </c>
      <c r="C31" s="706" t="s">
        <v>354</v>
      </c>
      <c r="D31" s="704">
        <v>5.28</v>
      </c>
      <c r="E31" s="705">
        <f>+[2]FA!M18</f>
        <v>0</v>
      </c>
      <c r="F31" s="705">
        <v>1981063.5689999999</v>
      </c>
      <c r="G31" s="705">
        <v>0</v>
      </c>
      <c r="H31" s="705">
        <v>121230.8054</v>
      </c>
      <c r="I31" s="705"/>
      <c r="J31" s="705">
        <f t="shared" si="16"/>
        <v>0</v>
      </c>
      <c r="K31" s="701">
        <f t="shared" si="15"/>
        <v>2102294.3744000001</v>
      </c>
      <c r="N31" s="395">
        <v>10</v>
      </c>
      <c r="O31" s="400" t="s">
        <v>508</v>
      </c>
      <c r="P31" s="397">
        <v>5.28</v>
      </c>
      <c r="Q31" s="687">
        <v>0</v>
      </c>
      <c r="R31" s="687">
        <v>3415116.6256000004</v>
      </c>
      <c r="S31" s="398">
        <f t="shared" si="11"/>
        <v>0</v>
      </c>
      <c r="T31" s="398">
        <f t="shared" si="12"/>
        <v>511409.39520000003</v>
      </c>
      <c r="U31" s="398"/>
      <c r="V31" s="398">
        <f t="shared" si="14"/>
        <v>0</v>
      </c>
      <c r="W31" s="394">
        <f t="shared" si="13"/>
        <v>3926526.0208000005</v>
      </c>
      <c r="AA31" s="1">
        <v>18.960592000000002</v>
      </c>
    </row>
    <row r="32" spans="2:35" ht="15.6" x14ac:dyDescent="0.3">
      <c r="B32" s="702">
        <v>9</v>
      </c>
      <c r="C32" s="706" t="s">
        <v>355</v>
      </c>
      <c r="D32" s="704">
        <v>5.28</v>
      </c>
      <c r="E32" s="705">
        <f>+[2]FA!M19</f>
        <v>0</v>
      </c>
      <c r="F32" s="705">
        <v>288273.733824</v>
      </c>
      <c r="G32" s="705">
        <v>0</v>
      </c>
      <c r="H32" s="705">
        <v>39352.277375999998</v>
      </c>
      <c r="I32" s="705"/>
      <c r="J32" s="705">
        <f t="shared" si="16"/>
        <v>0</v>
      </c>
      <c r="K32" s="701">
        <f t="shared" si="15"/>
        <v>327626.01120000001</v>
      </c>
      <c r="N32" s="395">
        <v>11</v>
      </c>
      <c r="O32" s="400" t="s">
        <v>509</v>
      </c>
      <c r="P32" s="397">
        <v>15</v>
      </c>
      <c r="Q32" s="687">
        <v>0</v>
      </c>
      <c r="R32" s="687">
        <v>279910.72499999998</v>
      </c>
      <c r="S32" s="398">
        <f t="shared" si="11"/>
        <v>0</v>
      </c>
      <c r="T32" s="398">
        <f t="shared" si="12"/>
        <v>93925.05</v>
      </c>
      <c r="U32" s="398"/>
      <c r="V32" s="398">
        <f t="shared" si="14"/>
        <v>0</v>
      </c>
      <c r="W32" s="394">
        <f t="shared" si="13"/>
        <v>373835.77499999997</v>
      </c>
      <c r="AA32" s="1">
        <v>8.6856000000000003E-2</v>
      </c>
    </row>
    <row r="33" spans="2:27" ht="15.6" x14ac:dyDescent="0.3">
      <c r="B33" s="702">
        <v>10</v>
      </c>
      <c r="C33" s="706" t="s">
        <v>356</v>
      </c>
      <c r="D33" s="704">
        <v>5.28</v>
      </c>
      <c r="E33" s="705" t="e">
        <f>+[2]FA!M35-E37-E34-E32-E31-E30-E29-E28-E27</f>
        <v>#REF!</v>
      </c>
      <c r="F33" s="705">
        <v>2800052.91</v>
      </c>
      <c r="G33" s="705">
        <v>0</v>
      </c>
      <c r="H33" s="705">
        <v>1137636.8799999999</v>
      </c>
      <c r="I33" s="705">
        <v>844179.12</v>
      </c>
      <c r="J33" s="705" t="e">
        <f t="shared" si="16"/>
        <v>#REF!</v>
      </c>
      <c r="K33" s="701">
        <f t="shared" si="15"/>
        <v>3093510.67</v>
      </c>
      <c r="N33" s="395">
        <v>12</v>
      </c>
      <c r="O33" s="824" t="s">
        <v>553</v>
      </c>
      <c r="P33" s="397">
        <v>9.5</v>
      </c>
      <c r="Q33" s="685">
        <v>0</v>
      </c>
      <c r="R33" s="685">
        <v>8.6856000000000003E-2</v>
      </c>
      <c r="S33" s="685">
        <f t="shared" si="11"/>
        <v>0</v>
      </c>
      <c r="T33" s="685">
        <f t="shared" si="12"/>
        <v>14540.795</v>
      </c>
      <c r="U33" s="398"/>
      <c r="V33" s="398">
        <f t="shared" si="14"/>
        <v>0</v>
      </c>
      <c r="W33" s="394">
        <f t="shared" si="14"/>
        <v>14540.881856</v>
      </c>
      <c r="AA33" s="1">
        <v>1795.1952779999999</v>
      </c>
    </row>
    <row r="34" spans="2:27" ht="16.2" thickBot="1" x14ac:dyDescent="0.35">
      <c r="B34" s="702">
        <v>11</v>
      </c>
      <c r="C34" s="706" t="s">
        <v>59</v>
      </c>
      <c r="D34" s="704">
        <v>5.28</v>
      </c>
      <c r="E34" s="705">
        <v>0</v>
      </c>
      <c r="F34" s="705">
        <v>0</v>
      </c>
      <c r="G34" s="705">
        <v>0</v>
      </c>
      <c r="H34" s="705">
        <v>0</v>
      </c>
      <c r="I34" s="705">
        <v>0</v>
      </c>
      <c r="J34" s="705">
        <f t="shared" si="16"/>
        <v>0</v>
      </c>
      <c r="K34" s="701">
        <f t="shared" si="15"/>
        <v>0</v>
      </c>
      <c r="N34" s="401">
        <v>13</v>
      </c>
      <c r="O34" s="402" t="s">
        <v>22</v>
      </c>
      <c r="P34" s="403"/>
      <c r="Q34" s="688">
        <v>0</v>
      </c>
      <c r="R34" s="688">
        <f>SUM(R25:R33)</f>
        <v>237134293.39459205</v>
      </c>
      <c r="S34" s="404">
        <v>0</v>
      </c>
      <c r="T34" s="404">
        <f>SUM(T25:T33)</f>
        <v>20235008.744904</v>
      </c>
      <c r="U34" s="404">
        <f>SUM(U25:U33)</f>
        <v>0</v>
      </c>
      <c r="V34" s="404">
        <v>0</v>
      </c>
      <c r="W34" s="405">
        <f>SUM(W25:W33)</f>
        <v>257369302.139496</v>
      </c>
    </row>
    <row r="35" spans="2:27" ht="31.2" x14ac:dyDescent="0.3">
      <c r="B35" s="702"/>
      <c r="C35" s="706"/>
      <c r="D35" s="704"/>
      <c r="E35" s="705"/>
      <c r="F35" s="705"/>
      <c r="G35" s="705"/>
      <c r="H35" s="705"/>
      <c r="I35" s="705"/>
      <c r="J35" s="705"/>
      <c r="K35" s="701"/>
      <c r="N35" s="756"/>
      <c r="O35" s="762" t="s">
        <v>496</v>
      </c>
      <c r="P35" s="758"/>
      <c r="Q35" s="759"/>
      <c r="T35" s="760">
        <f>+Q19*5.28%</f>
        <v>3231676.8</v>
      </c>
      <c r="U35" s="760"/>
      <c r="V35" s="760"/>
      <c r="W35" s="761"/>
    </row>
    <row r="36" spans="2:27" ht="16.2" thickBot="1" x14ac:dyDescent="0.35">
      <c r="B36" s="702"/>
      <c r="C36" s="706"/>
      <c r="D36" s="704"/>
      <c r="E36" s="705"/>
      <c r="F36" s="705"/>
      <c r="G36" s="705"/>
      <c r="H36" s="705"/>
      <c r="I36" s="705"/>
      <c r="J36" s="705"/>
      <c r="K36" s="701"/>
      <c r="N36" s="756"/>
      <c r="O36" s="757" t="s">
        <v>497</v>
      </c>
      <c r="P36" s="758"/>
      <c r="Q36" s="759"/>
      <c r="T36" s="760">
        <f>+T34-T35-U34</f>
        <v>17003331.944904</v>
      </c>
      <c r="U36" s="760"/>
      <c r="V36" s="760"/>
      <c r="W36" s="760"/>
    </row>
    <row r="37" spans="2:27" ht="15.6" customHeight="1" x14ac:dyDescent="0.3">
      <c r="B37" s="702">
        <v>12</v>
      </c>
      <c r="C37" s="706" t="s">
        <v>363</v>
      </c>
      <c r="D37" s="704">
        <v>15</v>
      </c>
      <c r="E37" s="705">
        <f>+[2]FA!M21</f>
        <v>0</v>
      </c>
      <c r="F37" s="705">
        <v>27900</v>
      </c>
      <c r="G37" s="705">
        <v>0</v>
      </c>
      <c r="H37" s="705">
        <v>83439.524999999994</v>
      </c>
      <c r="I37" s="705"/>
      <c r="J37" s="705">
        <f t="shared" si="16"/>
        <v>0</v>
      </c>
      <c r="K37" s="701">
        <f t="shared" si="15"/>
        <v>111339.52499999999</v>
      </c>
      <c r="N37" s="1082" t="s">
        <v>300</v>
      </c>
      <c r="O37" s="1085" t="s">
        <v>349</v>
      </c>
      <c r="P37" s="1085"/>
      <c r="Q37" s="1096" t="s">
        <v>360</v>
      </c>
      <c r="R37" s="1097"/>
      <c r="S37" s="1097"/>
      <c r="T37" s="1097"/>
      <c r="U37" s="1097"/>
      <c r="V37" s="1097"/>
      <c r="W37" s="1098"/>
    </row>
    <row r="38" spans="2:27" ht="16.2" thickBot="1" x14ac:dyDescent="0.35">
      <c r="B38" s="708">
        <v>13</v>
      </c>
      <c r="C38" s="709" t="s">
        <v>22</v>
      </c>
      <c r="D38" s="710"/>
      <c r="E38" s="711">
        <v>0</v>
      </c>
      <c r="F38" s="711">
        <f>SUM(F27:F37)</f>
        <v>200493889.52093601</v>
      </c>
      <c r="G38" s="711">
        <v>0</v>
      </c>
      <c r="H38" s="711">
        <f>SUM(H27:H37)</f>
        <v>20163940.374106664</v>
      </c>
      <c r="I38" s="711">
        <f>SUM(I27:I37)</f>
        <v>844179.12</v>
      </c>
      <c r="J38" s="711">
        <v>0</v>
      </c>
      <c r="K38" s="712">
        <f>SUM(K27:K37)</f>
        <v>219813650.77504268</v>
      </c>
      <c r="N38" s="1083"/>
      <c r="O38" s="1086"/>
      <c r="P38" s="1086"/>
      <c r="Q38" s="1099" t="s">
        <v>361</v>
      </c>
      <c r="R38" s="1100"/>
      <c r="S38" s="1093" t="s">
        <v>350</v>
      </c>
      <c r="T38" s="1094"/>
      <c r="U38" s="783" t="s">
        <v>519</v>
      </c>
      <c r="V38" s="1093" t="s">
        <v>362</v>
      </c>
      <c r="W38" s="1095"/>
    </row>
    <row r="39" spans="2:27" ht="31.2" x14ac:dyDescent="0.3">
      <c r="B39" s="713"/>
      <c r="C39" s="714" t="s">
        <v>496</v>
      </c>
      <c r="D39" s="715"/>
      <c r="E39" s="720"/>
      <c r="F39" s="717"/>
      <c r="G39" s="717"/>
      <c r="H39" s="717">
        <f>+E21*5.28%</f>
        <v>3231676.8</v>
      </c>
      <c r="I39" s="717"/>
      <c r="J39" s="717"/>
      <c r="K39" s="718">
        <f>+F39+H39-I39</f>
        <v>3231676.8</v>
      </c>
      <c r="N39" s="1084"/>
      <c r="O39" s="1087"/>
      <c r="P39" s="1087"/>
      <c r="Q39" s="572" t="s">
        <v>223</v>
      </c>
      <c r="R39" s="572" t="s">
        <v>224</v>
      </c>
      <c r="S39" s="572" t="s">
        <v>223</v>
      </c>
      <c r="T39" s="572" t="s">
        <v>224</v>
      </c>
      <c r="U39" s="572" t="s">
        <v>224</v>
      </c>
      <c r="V39" s="572" t="s">
        <v>223</v>
      </c>
      <c r="W39" s="573" t="s">
        <v>224</v>
      </c>
    </row>
    <row r="40" spans="2:27" ht="16.2" thickBot="1" x14ac:dyDescent="0.35">
      <c r="B40" s="713"/>
      <c r="C40" s="719" t="s">
        <v>497</v>
      </c>
      <c r="D40" s="715"/>
      <c r="E40" s="720"/>
      <c r="F40" s="717"/>
      <c r="G40" s="717"/>
      <c r="H40" s="717">
        <f>+H38-H39</f>
        <v>16932263.574106663</v>
      </c>
      <c r="I40" s="717"/>
      <c r="J40" s="717"/>
      <c r="K40" s="717">
        <f>+K38-K39</f>
        <v>216581973.97504267</v>
      </c>
      <c r="N40" s="388">
        <v>1</v>
      </c>
      <c r="O40" s="571">
        <v>2</v>
      </c>
      <c r="P40" s="571">
        <v>3</v>
      </c>
      <c r="Q40" s="1101">
        <v>4</v>
      </c>
      <c r="R40" s="1102"/>
      <c r="S40" s="1101">
        <v>5</v>
      </c>
      <c r="T40" s="1102"/>
      <c r="U40" s="784">
        <v>6</v>
      </c>
      <c r="V40" s="1101">
        <v>7</v>
      </c>
      <c r="W40" s="1103"/>
    </row>
    <row r="41" spans="2:27" ht="18" customHeight="1" x14ac:dyDescent="0.3">
      <c r="B41" s="1064" t="s">
        <v>300</v>
      </c>
      <c r="C41" s="1050" t="s">
        <v>349</v>
      </c>
      <c r="D41" s="1050"/>
      <c r="E41" s="1071" t="s">
        <v>360</v>
      </c>
      <c r="F41" s="1072"/>
      <c r="G41" s="1072"/>
      <c r="H41" s="1072"/>
      <c r="I41" s="1072"/>
      <c r="J41" s="1072"/>
      <c r="K41" s="1073"/>
      <c r="N41" s="395">
        <v>1</v>
      </c>
      <c r="O41" s="105" t="s">
        <v>500</v>
      </c>
      <c r="P41" s="397"/>
      <c r="Q41" s="398">
        <f t="shared" ref="Q41:R48" si="17">+Q9-Q25</f>
        <v>0</v>
      </c>
      <c r="R41" s="398">
        <f t="shared" si="17"/>
        <v>10204070</v>
      </c>
      <c r="S41" s="398"/>
      <c r="T41" s="398"/>
      <c r="U41" s="398"/>
      <c r="V41" s="398">
        <f t="shared" ref="V41:W49" si="18">+V9-V25</f>
        <v>0</v>
      </c>
      <c r="W41" s="399">
        <f t="shared" si="18"/>
        <v>9572977</v>
      </c>
    </row>
    <row r="42" spans="2:27" ht="18" customHeight="1" x14ac:dyDescent="0.3">
      <c r="B42" s="1065"/>
      <c r="C42" s="1051"/>
      <c r="D42" s="1051"/>
      <c r="E42" s="1074" t="s">
        <v>361</v>
      </c>
      <c r="F42" s="1075"/>
      <c r="G42" s="1056" t="s">
        <v>350</v>
      </c>
      <c r="H42" s="1057"/>
      <c r="I42" s="690" t="s">
        <v>489</v>
      </c>
      <c r="J42" s="1056" t="s">
        <v>362</v>
      </c>
      <c r="K42" s="1067"/>
      <c r="N42" s="395">
        <v>2</v>
      </c>
      <c r="O42" s="396" t="s">
        <v>503</v>
      </c>
      <c r="P42" s="397"/>
      <c r="Q42" s="398">
        <f t="shared" si="17"/>
        <v>183866335</v>
      </c>
      <c r="R42" s="398">
        <f t="shared" si="17"/>
        <v>17033655.456128001</v>
      </c>
      <c r="S42" s="398"/>
      <c r="T42" s="398"/>
      <c r="U42" s="398"/>
      <c r="V42" s="398">
        <f t="shared" si="18"/>
        <v>183866335</v>
      </c>
      <c r="W42" s="399">
        <f t="shared" si="18"/>
        <v>13538583.581504002</v>
      </c>
    </row>
    <row r="43" spans="2:27" ht="16.5" customHeight="1" x14ac:dyDescent="0.3">
      <c r="B43" s="1066"/>
      <c r="C43" s="1052"/>
      <c r="D43" s="1052"/>
      <c r="E43" s="691" t="s">
        <v>223</v>
      </c>
      <c r="F43" s="691" t="s">
        <v>224</v>
      </c>
      <c r="G43" s="691" t="s">
        <v>223</v>
      </c>
      <c r="H43" s="691" t="s">
        <v>224</v>
      </c>
      <c r="I43" s="691" t="s">
        <v>224</v>
      </c>
      <c r="J43" s="691" t="s">
        <v>223</v>
      </c>
      <c r="K43" s="692" t="s">
        <v>224</v>
      </c>
      <c r="N43" s="395">
        <v>3</v>
      </c>
      <c r="O43" s="400" t="s">
        <v>504</v>
      </c>
      <c r="P43" s="397"/>
      <c r="Q43" s="398">
        <f t="shared" si="17"/>
        <v>168953539</v>
      </c>
      <c r="R43" s="398">
        <f t="shared" si="17"/>
        <v>92310176.238319993</v>
      </c>
      <c r="S43" s="398"/>
      <c r="T43" s="398"/>
      <c r="U43" s="398"/>
      <c r="V43" s="398">
        <f t="shared" si="18"/>
        <v>168953539</v>
      </c>
      <c r="W43" s="399">
        <f t="shared" si="18"/>
        <v>78793825.442768008</v>
      </c>
    </row>
    <row r="44" spans="2:27" ht="15.6" x14ac:dyDescent="0.3">
      <c r="B44" s="728">
        <v>1</v>
      </c>
      <c r="C44" s="691">
        <v>2</v>
      </c>
      <c r="D44" s="691">
        <v>3</v>
      </c>
      <c r="E44" s="1076">
        <v>4</v>
      </c>
      <c r="F44" s="1077"/>
      <c r="G44" s="1076">
        <v>5</v>
      </c>
      <c r="H44" s="1077"/>
      <c r="I44" s="729"/>
      <c r="J44" s="1076">
        <v>6</v>
      </c>
      <c r="K44" s="1078"/>
      <c r="N44" s="395">
        <v>7</v>
      </c>
      <c r="O44" s="400" t="s">
        <v>505</v>
      </c>
      <c r="P44" s="397"/>
      <c r="Q44" s="398">
        <f t="shared" si="17"/>
        <v>2191000</v>
      </c>
      <c r="R44" s="398">
        <f t="shared" si="17"/>
        <v>7004074.9440000001</v>
      </c>
      <c r="S44" s="398"/>
      <c r="T44" s="398"/>
      <c r="U44" s="398"/>
      <c r="V44" s="398">
        <f t="shared" si="18"/>
        <v>9700561</v>
      </c>
      <c r="W44" s="399">
        <f t="shared" si="18"/>
        <v>31649633.501600001</v>
      </c>
    </row>
    <row r="45" spans="2:27" ht="15.6" x14ac:dyDescent="0.3">
      <c r="B45" s="702">
        <v>1</v>
      </c>
      <c r="C45" s="730" t="s">
        <v>58</v>
      </c>
      <c r="D45" s="704"/>
      <c r="E45" s="705" t="e">
        <f t="shared" ref="E45:F52" si="19">+E9-E27</f>
        <v>#REF!</v>
      </c>
      <c r="F45" s="705">
        <f t="shared" si="19"/>
        <v>11465486</v>
      </c>
      <c r="G45" s="705"/>
      <c r="H45" s="705"/>
      <c r="I45" s="705"/>
      <c r="J45" s="705" t="e">
        <f t="shared" ref="J45:K52" si="20">+J9-J27</f>
        <v>#REF!</v>
      </c>
      <c r="K45" s="731">
        <f t="shared" si="20"/>
        <v>9869488.333333334</v>
      </c>
      <c r="N45" s="395">
        <v>8</v>
      </c>
      <c r="O45" s="400" t="s">
        <v>506</v>
      </c>
      <c r="P45" s="397"/>
      <c r="Q45" s="398">
        <f t="shared" si="17"/>
        <v>11420125</v>
      </c>
      <c r="R45" s="398">
        <f t="shared" si="17"/>
        <v>4301318.6576000005</v>
      </c>
      <c r="S45" s="398"/>
      <c r="T45" s="398"/>
      <c r="U45" s="398"/>
      <c r="V45" s="398">
        <f t="shared" si="18"/>
        <v>11420125</v>
      </c>
      <c r="W45" s="399">
        <f t="shared" si="18"/>
        <v>5364199.0432000002</v>
      </c>
    </row>
    <row r="46" spans="2:27" ht="15.6" x14ac:dyDescent="0.3">
      <c r="B46" s="702">
        <v>2</v>
      </c>
      <c r="C46" s="703" t="s">
        <v>352</v>
      </c>
      <c r="D46" s="704"/>
      <c r="E46" s="705">
        <f t="shared" si="19"/>
        <v>0</v>
      </c>
      <c r="F46" s="705">
        <f t="shared" si="19"/>
        <v>23257863.314367995</v>
      </c>
      <c r="G46" s="705"/>
      <c r="H46" s="705"/>
      <c r="I46" s="705"/>
      <c r="J46" s="705">
        <f t="shared" si="20"/>
        <v>0</v>
      </c>
      <c r="K46" s="731">
        <f t="shared" si="20"/>
        <v>19695339.895599991</v>
      </c>
      <c r="N46" s="395">
        <v>9</v>
      </c>
      <c r="O46" s="400" t="s">
        <v>507</v>
      </c>
      <c r="P46" s="397"/>
      <c r="Q46" s="398">
        <f t="shared" si="17"/>
        <v>0</v>
      </c>
      <c r="R46" s="398">
        <f t="shared" si="17"/>
        <v>326455.42681599996</v>
      </c>
      <c r="S46" s="398"/>
      <c r="T46" s="398"/>
      <c r="U46" s="398"/>
      <c r="V46" s="398">
        <f t="shared" si="18"/>
        <v>0</v>
      </c>
      <c r="W46" s="399">
        <f t="shared" si="18"/>
        <v>289808.64908799995</v>
      </c>
    </row>
    <row r="47" spans="2:27" ht="15.6" x14ac:dyDescent="0.3">
      <c r="B47" s="702">
        <v>3</v>
      </c>
      <c r="C47" s="706" t="s">
        <v>353</v>
      </c>
      <c r="D47" s="704"/>
      <c r="E47" s="705">
        <f t="shared" si="19"/>
        <v>2639359</v>
      </c>
      <c r="F47" s="705">
        <f t="shared" si="19"/>
        <v>104324352.61271998</v>
      </c>
      <c r="G47" s="705"/>
      <c r="H47" s="705"/>
      <c r="I47" s="705"/>
      <c r="J47" s="705">
        <f t="shared" si="20"/>
        <v>168953359</v>
      </c>
      <c r="K47" s="731">
        <f t="shared" si="20"/>
        <v>122983237.81662396</v>
      </c>
      <c r="N47" s="395">
        <v>10</v>
      </c>
      <c r="O47" s="400" t="s">
        <v>508</v>
      </c>
      <c r="P47" s="397"/>
      <c r="Q47" s="398">
        <f t="shared" si="17"/>
        <v>0</v>
      </c>
      <c r="R47" s="398">
        <f t="shared" si="17"/>
        <v>6270667.3743999992</v>
      </c>
      <c r="S47" s="398"/>
      <c r="T47" s="398"/>
      <c r="U47" s="398"/>
      <c r="V47" s="398">
        <f t="shared" si="18"/>
        <v>0</v>
      </c>
      <c r="W47" s="399">
        <f t="shared" si="18"/>
        <v>5759257.9791999999</v>
      </c>
    </row>
    <row r="48" spans="2:27" ht="15.6" x14ac:dyDescent="0.3">
      <c r="B48" s="702">
        <v>7</v>
      </c>
      <c r="C48" s="706" t="s">
        <v>242</v>
      </c>
      <c r="D48" s="704"/>
      <c r="E48" s="705">
        <f t="shared" si="19"/>
        <v>0</v>
      </c>
      <c r="F48" s="705">
        <f t="shared" si="19"/>
        <v>1826360.0447999993</v>
      </c>
      <c r="G48" s="705"/>
      <c r="H48" s="705"/>
      <c r="I48" s="705"/>
      <c r="J48" s="705">
        <f t="shared" si="20"/>
        <v>0</v>
      </c>
      <c r="K48" s="731">
        <f t="shared" si="20"/>
        <v>1212022.379999999</v>
      </c>
      <c r="N48" s="395">
        <v>11</v>
      </c>
      <c r="O48" s="400" t="s">
        <v>509</v>
      </c>
      <c r="P48" s="397"/>
      <c r="Q48" s="398">
        <f t="shared" si="17"/>
        <v>0</v>
      </c>
      <c r="R48" s="398">
        <f t="shared" si="17"/>
        <v>346256.27500000002</v>
      </c>
      <c r="S48" s="398"/>
      <c r="T48" s="398"/>
      <c r="U48" s="398"/>
      <c r="V48" s="398">
        <f t="shared" si="18"/>
        <v>0</v>
      </c>
      <c r="W48" s="399">
        <f t="shared" si="18"/>
        <v>252331.22500000003</v>
      </c>
    </row>
    <row r="49" spans="2:23" ht="15.6" x14ac:dyDescent="0.3">
      <c r="B49" s="702">
        <v>8</v>
      </c>
      <c r="C49" s="706" t="s">
        <v>354</v>
      </c>
      <c r="D49" s="704"/>
      <c r="E49" s="705">
        <f t="shared" si="19"/>
        <v>0</v>
      </c>
      <c r="F49" s="705">
        <f t="shared" si="19"/>
        <v>462045.9310000001</v>
      </c>
      <c r="G49" s="705"/>
      <c r="H49" s="705"/>
      <c r="I49" s="705"/>
      <c r="J49" s="705">
        <f t="shared" si="20"/>
        <v>0</v>
      </c>
      <c r="K49" s="731">
        <f t="shared" si="20"/>
        <v>340815.12559999991</v>
      </c>
      <c r="N49" s="395">
        <v>12</v>
      </c>
      <c r="O49" s="400" t="s">
        <v>553</v>
      </c>
      <c r="P49" s="397"/>
      <c r="Q49" s="398">
        <f>+Q17-Q33</f>
        <v>0</v>
      </c>
      <c r="R49" s="398">
        <v>0</v>
      </c>
      <c r="S49" s="398"/>
      <c r="T49" s="398"/>
      <c r="U49" s="398"/>
      <c r="V49" s="398">
        <f t="shared" si="18"/>
        <v>0</v>
      </c>
      <c r="W49" s="399">
        <f t="shared" si="18"/>
        <v>291581.11814400001</v>
      </c>
    </row>
    <row r="50" spans="2:23" ht="16.2" thickBot="1" x14ac:dyDescent="0.35">
      <c r="B50" s="702">
        <v>9</v>
      </c>
      <c r="C50" s="706" t="s">
        <v>355</v>
      </c>
      <c r="D50" s="704"/>
      <c r="E50" s="705">
        <f t="shared" si="19"/>
        <v>0</v>
      </c>
      <c r="F50" s="705">
        <f t="shared" si="19"/>
        <v>405794.02617600001</v>
      </c>
      <c r="G50" s="705"/>
      <c r="H50" s="705"/>
      <c r="I50" s="705"/>
      <c r="J50" s="705">
        <f t="shared" si="20"/>
        <v>0</v>
      </c>
      <c r="K50" s="731">
        <f t="shared" si="20"/>
        <v>366441.7488</v>
      </c>
      <c r="N50" s="406">
        <v>13</v>
      </c>
      <c r="O50" s="407" t="s">
        <v>22</v>
      </c>
      <c r="P50" s="69"/>
      <c r="Q50" s="408">
        <f t="shared" ref="Q50:W50" si="21">SUM(Q41:Q49)</f>
        <v>366430999</v>
      </c>
      <c r="R50" s="408">
        <f t="shared" si="21"/>
        <v>137796674.372264</v>
      </c>
      <c r="S50" s="408">
        <f t="shared" si="21"/>
        <v>0</v>
      </c>
      <c r="T50" s="408">
        <f t="shared" si="21"/>
        <v>0</v>
      </c>
      <c r="U50" s="408">
        <f t="shared" si="21"/>
        <v>0</v>
      </c>
      <c r="V50" s="408">
        <f t="shared" si="21"/>
        <v>373940560</v>
      </c>
      <c r="W50" s="409">
        <f t="shared" si="21"/>
        <v>145512197.54050401</v>
      </c>
    </row>
    <row r="51" spans="2:23" ht="15.6" x14ac:dyDescent="0.3">
      <c r="B51" s="702">
        <v>10</v>
      </c>
      <c r="C51" s="706" t="s">
        <v>356</v>
      </c>
      <c r="D51" s="704"/>
      <c r="E51" s="705" t="e">
        <f t="shared" si="19"/>
        <v>#REF!</v>
      </c>
      <c r="F51" s="705">
        <f t="shared" si="19"/>
        <v>34442190.090000004</v>
      </c>
      <c r="G51" s="705"/>
      <c r="H51" s="705"/>
      <c r="I51" s="705"/>
      <c r="J51" s="705" t="e">
        <f t="shared" si="20"/>
        <v>#REF!</v>
      </c>
      <c r="K51" s="731">
        <f t="shared" si="20"/>
        <v>18735141.329999998</v>
      </c>
      <c r="V51" s="127"/>
      <c r="W51" s="127"/>
    </row>
    <row r="52" spans="2:23" ht="15.6" x14ac:dyDescent="0.3">
      <c r="B52" s="702">
        <v>11</v>
      </c>
      <c r="C52" s="706" t="s">
        <v>59</v>
      </c>
      <c r="D52" s="704"/>
      <c r="E52" s="705">
        <f t="shared" si="19"/>
        <v>0</v>
      </c>
      <c r="F52" s="705">
        <f t="shared" si="19"/>
        <v>0</v>
      </c>
      <c r="G52" s="705"/>
      <c r="H52" s="705"/>
      <c r="I52" s="705"/>
      <c r="J52" s="705">
        <f t="shared" si="20"/>
        <v>0</v>
      </c>
      <c r="K52" s="731">
        <f t="shared" si="20"/>
        <v>0</v>
      </c>
    </row>
    <row r="53" spans="2:23" ht="15.6" x14ac:dyDescent="0.3">
      <c r="B53" s="702">
        <v>12</v>
      </c>
      <c r="C53" s="706" t="s">
        <v>60</v>
      </c>
      <c r="D53" s="704"/>
      <c r="E53" s="705">
        <f>+E17-E37</f>
        <v>0</v>
      </c>
      <c r="F53" s="705">
        <f>+F17-F37</f>
        <v>458030</v>
      </c>
      <c r="G53" s="705"/>
      <c r="H53" s="705"/>
      <c r="I53" s="705"/>
      <c r="J53" s="705">
        <f>+J17-J37</f>
        <v>0</v>
      </c>
      <c r="K53" s="731">
        <f>+K17-K37</f>
        <v>515257.47499999998</v>
      </c>
    </row>
    <row r="54" spans="2:23" ht="16.2" thickBot="1" x14ac:dyDescent="0.35">
      <c r="B54" s="732">
        <v>13</v>
      </c>
      <c r="C54" s="733" t="s">
        <v>22</v>
      </c>
      <c r="D54" s="734"/>
      <c r="E54" s="735" t="e">
        <f t="shared" ref="E54:K54" si="22">SUM(E45:E53)</f>
        <v>#REF!</v>
      </c>
      <c r="F54" s="735">
        <f t="shared" si="22"/>
        <v>176642122.01906398</v>
      </c>
      <c r="G54" s="735">
        <f t="shared" si="22"/>
        <v>0</v>
      </c>
      <c r="H54" s="735">
        <f t="shared" si="22"/>
        <v>0</v>
      </c>
      <c r="I54" s="735"/>
      <c r="J54" s="735" t="e">
        <f t="shared" si="22"/>
        <v>#REF!</v>
      </c>
      <c r="K54" s="736">
        <f t="shared" si="22"/>
        <v>173717744.10495731</v>
      </c>
      <c r="N54" s="177"/>
      <c r="R54" s="73"/>
      <c r="S54" s="73"/>
      <c r="W54" s="178"/>
    </row>
    <row r="55" spans="2:23" ht="15.6" x14ac:dyDescent="0.3">
      <c r="B55" s="689"/>
      <c r="C55" s="689"/>
      <c r="D55" s="689"/>
      <c r="E55" s="689"/>
      <c r="F55" s="689"/>
      <c r="G55" s="689"/>
      <c r="H55" s="689"/>
      <c r="I55" s="689"/>
      <c r="J55" s="737"/>
      <c r="K55" s="737"/>
      <c r="N55" s="177"/>
      <c r="R55" s="73"/>
      <c r="S55" s="73"/>
      <c r="W55" s="179"/>
    </row>
    <row r="56" spans="2:23" ht="15.6" x14ac:dyDescent="0.3">
      <c r="B56" s="689"/>
      <c r="C56" s="689"/>
      <c r="D56" s="689"/>
      <c r="E56" s="689"/>
      <c r="F56" s="689"/>
      <c r="G56" s="689"/>
      <c r="H56" s="689"/>
      <c r="I56" s="689"/>
      <c r="J56" s="689"/>
      <c r="K56" s="689"/>
      <c r="R56" s="73"/>
      <c r="S56" s="73"/>
    </row>
    <row r="57" spans="2:23" ht="15.6" x14ac:dyDescent="0.3">
      <c r="R57" s="73"/>
      <c r="S57" s="73"/>
    </row>
    <row r="58" spans="2:23" ht="15.6" x14ac:dyDescent="0.3">
      <c r="B58" s="177"/>
      <c r="F58" s="73"/>
      <c r="G58" s="73"/>
      <c r="K58" s="178"/>
      <c r="R58" s="73"/>
      <c r="S58" s="73"/>
    </row>
    <row r="59" spans="2:23" ht="15.6" x14ac:dyDescent="0.3">
      <c r="B59" s="177"/>
      <c r="F59" s="73"/>
      <c r="G59" s="73"/>
      <c r="K59" s="179"/>
      <c r="R59" s="73"/>
      <c r="S59" s="73"/>
    </row>
    <row r="60" spans="2:23" ht="15.6" x14ac:dyDescent="0.3">
      <c r="F60" s="73"/>
      <c r="G60" s="73"/>
      <c r="N60" s="180"/>
      <c r="O60" s="181"/>
      <c r="P60" s="257"/>
      <c r="R60" s="73"/>
      <c r="S60" s="73"/>
      <c r="W60" s="182"/>
    </row>
    <row r="61" spans="2:23" ht="15.6" x14ac:dyDescent="0.3">
      <c r="F61" s="73"/>
      <c r="G61" s="73"/>
      <c r="N61" s="180"/>
      <c r="O61" s="183"/>
      <c r="P61" s="257"/>
      <c r="R61" s="73"/>
      <c r="S61" s="73"/>
      <c r="W61" s="182"/>
    </row>
    <row r="62" spans="2:23" ht="15.6" x14ac:dyDescent="0.3">
      <c r="F62" s="73"/>
      <c r="G62" s="73"/>
    </row>
    <row r="63" spans="2:23" ht="15.6" x14ac:dyDescent="0.3">
      <c r="F63" s="73"/>
      <c r="G63" s="73"/>
    </row>
    <row r="64" spans="2:23" ht="15.6" x14ac:dyDescent="0.3">
      <c r="B64" s="180"/>
      <c r="C64" s="181"/>
      <c r="D64" s="257"/>
      <c r="F64" s="73"/>
      <c r="G64" s="73"/>
      <c r="K64" s="182"/>
    </row>
    <row r="65" spans="2:11" ht="15.6" x14ac:dyDescent="0.3">
      <c r="B65" s="180"/>
      <c r="C65" s="183"/>
      <c r="D65" s="257"/>
      <c r="F65" s="73"/>
      <c r="G65" s="73"/>
      <c r="K65" s="182"/>
    </row>
  </sheetData>
  <mergeCells count="63">
    <mergeCell ref="Q40:R40"/>
    <mergeCell ref="S40:T40"/>
    <mergeCell ref="V40:W40"/>
    <mergeCell ref="Z7:AI7"/>
    <mergeCell ref="Q24:R24"/>
    <mergeCell ref="S24:T24"/>
    <mergeCell ref="V24:W24"/>
    <mergeCell ref="Q8:R8"/>
    <mergeCell ref="S8:T8"/>
    <mergeCell ref="V8:W8"/>
    <mergeCell ref="N37:N39"/>
    <mergeCell ref="O37:O39"/>
    <mergeCell ref="P37:P39"/>
    <mergeCell ref="Q37:W37"/>
    <mergeCell ref="Q38:R38"/>
    <mergeCell ref="S38:T38"/>
    <mergeCell ref="V38:W38"/>
    <mergeCell ref="P21:P23"/>
    <mergeCell ref="Q21:W21"/>
    <mergeCell ref="Q22:R22"/>
    <mergeCell ref="S22:T22"/>
    <mergeCell ref="V22:W22"/>
    <mergeCell ref="N2:W2"/>
    <mergeCell ref="N3:W3"/>
    <mergeCell ref="N4:W4"/>
    <mergeCell ref="N5:N7"/>
    <mergeCell ref="O5:O7"/>
    <mergeCell ref="P5:P7"/>
    <mergeCell ref="Q5:W5"/>
    <mergeCell ref="Q6:R6"/>
    <mergeCell ref="S6:T6"/>
    <mergeCell ref="V6:W6"/>
    <mergeCell ref="G24:H24"/>
    <mergeCell ref="J24:K24"/>
    <mergeCell ref="E44:F44"/>
    <mergeCell ref="J44:K44"/>
    <mergeCell ref="E26:F26"/>
    <mergeCell ref="G26:H26"/>
    <mergeCell ref="J26:K26"/>
    <mergeCell ref="G44:H44"/>
    <mergeCell ref="B41:B43"/>
    <mergeCell ref="C41:C43"/>
    <mergeCell ref="D41:D43"/>
    <mergeCell ref="E41:K41"/>
    <mergeCell ref="E42:F42"/>
    <mergeCell ref="J42:K42"/>
    <mergeCell ref="G42:H42"/>
    <mergeCell ref="D23:D25"/>
    <mergeCell ref="E23:K23"/>
    <mergeCell ref="E24:F24"/>
    <mergeCell ref="B2:K2"/>
    <mergeCell ref="B3:K3"/>
    <mergeCell ref="B4:K4"/>
    <mergeCell ref="B5:B7"/>
    <mergeCell ref="C5:C7"/>
    <mergeCell ref="D5:D7"/>
    <mergeCell ref="E5:K5"/>
    <mergeCell ref="E6:F6"/>
    <mergeCell ref="G6:H6"/>
    <mergeCell ref="J6:K6"/>
    <mergeCell ref="E8:F8"/>
    <mergeCell ref="G8:H8"/>
    <mergeCell ref="J8:K8"/>
  </mergeCells>
  <printOptions horizontalCentered="1" verticalCentered="1"/>
  <pageMargins left="0.25" right="0.25" top="0.75" bottom="0.75" header="0.3" footer="0.3"/>
  <pageSetup paperSize="9" scale="22" orientation="portrait" r:id="rId1"/>
  <colBreaks count="1" manualBreakCount="1">
    <brk id="11" max="1048575" man="1"/>
  </colBreaks>
  <ignoredErrors>
    <ignoredError sqref="AE12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C00000"/>
    <pageSetUpPr fitToPage="1"/>
  </sheetPr>
  <dimension ref="B1:F41"/>
  <sheetViews>
    <sheetView view="pageBreakPreview" zoomScale="70" zoomScaleNormal="85" zoomScaleSheetLayoutView="70" workbookViewId="0">
      <selection activeCell="M22" sqref="M22"/>
    </sheetView>
  </sheetViews>
  <sheetFormatPr defaultColWidth="9.109375" defaultRowHeight="13.8" x14ac:dyDescent="0.25"/>
  <cols>
    <col min="1" max="1" width="9.109375" style="1"/>
    <col min="2" max="2" width="6.77734375" style="1" bestFit="1" customWidth="1"/>
    <col min="3" max="3" width="73.21875" style="1" customWidth="1"/>
    <col min="4" max="4" width="27.88671875" style="1" customWidth="1"/>
    <col min="5" max="5" width="11.6640625" style="1" bestFit="1" customWidth="1"/>
    <col min="6" max="6" width="26.21875" style="1" customWidth="1"/>
    <col min="7" max="16384" width="9.109375" style="1"/>
  </cols>
  <sheetData>
    <row r="1" spans="2:6" ht="14.4" thickBot="1" x14ac:dyDescent="0.3"/>
    <row r="2" spans="2:6" ht="16.2" thickBot="1" x14ac:dyDescent="0.3">
      <c r="B2" s="1107" t="s">
        <v>540</v>
      </c>
      <c r="C2" s="1108"/>
      <c r="D2" s="1108"/>
      <c r="E2" s="1108"/>
      <c r="F2" s="1109"/>
    </row>
    <row r="3" spans="2:6" ht="16.2" thickBot="1" x14ac:dyDescent="0.35">
      <c r="B3" s="985" t="s">
        <v>269</v>
      </c>
      <c r="C3" s="986"/>
      <c r="D3" s="986"/>
      <c r="E3" s="986"/>
      <c r="F3" s="987"/>
    </row>
    <row r="4" spans="2:6" ht="15.6" x14ac:dyDescent="0.3">
      <c r="B4" s="1110" t="s">
        <v>364</v>
      </c>
      <c r="C4" s="1111"/>
      <c r="D4" s="1111"/>
      <c r="E4" s="1111"/>
      <c r="F4" s="1112"/>
    </row>
    <row r="5" spans="2:6" x14ac:dyDescent="0.25">
      <c r="B5" s="1113" t="s">
        <v>0</v>
      </c>
      <c r="C5" s="972" t="s">
        <v>61</v>
      </c>
      <c r="D5" s="662" t="s">
        <v>551</v>
      </c>
      <c r="E5" s="662" t="s">
        <v>517</v>
      </c>
      <c r="F5" s="662" t="s">
        <v>517</v>
      </c>
    </row>
    <row r="6" spans="2:6" ht="31.2" x14ac:dyDescent="0.25">
      <c r="B6" s="1113"/>
      <c r="C6" s="972"/>
      <c r="D6" s="410" t="s">
        <v>3</v>
      </c>
      <c r="E6" s="410" t="s">
        <v>437</v>
      </c>
      <c r="F6" s="411" t="s">
        <v>3</v>
      </c>
    </row>
    <row r="7" spans="2:6" ht="16.5" customHeight="1" x14ac:dyDescent="0.3">
      <c r="B7" s="412">
        <v>1</v>
      </c>
      <c r="C7" s="413">
        <v>2</v>
      </c>
      <c r="D7" s="413">
        <v>3</v>
      </c>
      <c r="E7" s="413">
        <v>4</v>
      </c>
      <c r="F7" s="414">
        <v>5</v>
      </c>
    </row>
    <row r="8" spans="2:6" ht="16.2" thickBot="1" x14ac:dyDescent="0.35">
      <c r="B8" s="415">
        <v>1</v>
      </c>
      <c r="C8" s="416" t="s">
        <v>290</v>
      </c>
      <c r="D8" s="417"/>
      <c r="E8" s="418"/>
      <c r="F8" s="419"/>
    </row>
    <row r="9" spans="2:6" ht="15.6" x14ac:dyDescent="0.3">
      <c r="B9" s="420" t="s">
        <v>62</v>
      </c>
      <c r="C9" s="390" t="s">
        <v>63</v>
      </c>
      <c r="D9" s="421">
        <v>0</v>
      </c>
      <c r="E9" s="422"/>
      <c r="F9" s="423">
        <v>370.26000000000005</v>
      </c>
    </row>
    <row r="10" spans="2:6" ht="15.6" x14ac:dyDescent="0.3">
      <c r="B10" s="424" t="s">
        <v>64</v>
      </c>
      <c r="C10" s="105" t="s">
        <v>65</v>
      </c>
      <c r="D10" s="425">
        <v>0</v>
      </c>
      <c r="E10" s="426"/>
      <c r="F10" s="427">
        <v>370.26</v>
      </c>
    </row>
    <row r="11" spans="2:6" ht="15.6" x14ac:dyDescent="0.3">
      <c r="B11" s="424" t="s">
        <v>66</v>
      </c>
      <c r="C11" s="105" t="s">
        <v>67</v>
      </c>
      <c r="D11" s="425">
        <v>0</v>
      </c>
      <c r="E11" s="426"/>
      <c r="F11" s="427">
        <v>0</v>
      </c>
    </row>
    <row r="12" spans="2:6" ht="15.6" x14ac:dyDescent="0.3">
      <c r="B12" s="424" t="s">
        <v>68</v>
      </c>
      <c r="C12" s="105" t="s">
        <v>69</v>
      </c>
      <c r="D12" s="428">
        <v>0</v>
      </c>
      <c r="E12" s="426"/>
      <c r="F12" s="427">
        <v>0</v>
      </c>
    </row>
    <row r="13" spans="2:6" ht="15.6" x14ac:dyDescent="0.3">
      <c r="B13" s="424" t="s">
        <v>70</v>
      </c>
      <c r="C13" s="105" t="s">
        <v>71</v>
      </c>
      <c r="D13" s="425">
        <v>0</v>
      </c>
      <c r="E13" s="426"/>
      <c r="F13" s="427">
        <v>0</v>
      </c>
    </row>
    <row r="14" spans="2:6" ht="15.6" x14ac:dyDescent="0.3">
      <c r="B14" s="424" t="s">
        <v>72</v>
      </c>
      <c r="C14" s="105" t="s">
        <v>73</v>
      </c>
      <c r="D14" s="425">
        <v>0</v>
      </c>
      <c r="E14" s="426"/>
      <c r="F14" s="427">
        <v>0</v>
      </c>
    </row>
    <row r="15" spans="2:6" ht="15.6" x14ac:dyDescent="0.3">
      <c r="B15" s="424" t="s">
        <v>74</v>
      </c>
      <c r="C15" s="105" t="s">
        <v>75</v>
      </c>
      <c r="D15" s="425"/>
      <c r="E15" s="440"/>
      <c r="F15" s="441"/>
    </row>
    <row r="16" spans="2:6" ht="15.6" x14ac:dyDescent="0.3">
      <c r="B16" s="424" t="s">
        <v>76</v>
      </c>
      <c r="C16" s="105" t="s">
        <v>77</v>
      </c>
      <c r="D16" s="425">
        <v>0</v>
      </c>
      <c r="E16" s="426"/>
      <c r="F16" s="427">
        <v>0.10199999999999999</v>
      </c>
    </row>
    <row r="17" spans="2:6" ht="15.6" x14ac:dyDescent="0.3">
      <c r="B17" s="424" t="s">
        <v>78</v>
      </c>
      <c r="C17" s="105" t="s">
        <v>79</v>
      </c>
      <c r="D17" s="425">
        <v>0</v>
      </c>
      <c r="E17" s="426"/>
      <c r="F17" s="427">
        <v>0</v>
      </c>
    </row>
    <row r="18" spans="2:6" ht="15.6" x14ac:dyDescent="0.3">
      <c r="B18" s="424" t="s">
        <v>80</v>
      </c>
      <c r="C18" s="429" t="s">
        <v>81</v>
      </c>
      <c r="D18" s="428">
        <v>0</v>
      </c>
      <c r="E18" s="426"/>
      <c r="F18" s="430" t="s">
        <v>225</v>
      </c>
    </row>
    <row r="19" spans="2:6" ht="15.6" x14ac:dyDescent="0.3">
      <c r="B19" s="431">
        <v>2</v>
      </c>
      <c r="C19" s="310" t="s">
        <v>291</v>
      </c>
      <c r="D19" s="432"/>
      <c r="E19" s="433"/>
      <c r="F19" s="434"/>
    </row>
    <row r="20" spans="2:6" ht="15.6" x14ac:dyDescent="0.3">
      <c r="B20" s="424" t="s">
        <v>62</v>
      </c>
      <c r="C20" s="105" t="s">
        <v>63</v>
      </c>
      <c r="D20" s="425"/>
      <c r="E20" s="426"/>
      <c r="F20" s="427"/>
    </row>
    <row r="21" spans="2:6" ht="15.6" x14ac:dyDescent="0.3">
      <c r="B21" s="424" t="s">
        <v>64</v>
      </c>
      <c r="C21" s="105" t="s">
        <v>65</v>
      </c>
      <c r="D21" s="425"/>
      <c r="E21" s="426"/>
      <c r="F21" s="427"/>
    </row>
    <row r="22" spans="2:6" ht="15.6" x14ac:dyDescent="0.3">
      <c r="B22" s="424" t="s">
        <v>66</v>
      </c>
      <c r="C22" s="105" t="s">
        <v>67</v>
      </c>
      <c r="D22" s="425">
        <v>0</v>
      </c>
      <c r="E22" s="426"/>
      <c r="F22" s="427">
        <v>203.91</v>
      </c>
    </row>
    <row r="23" spans="2:6" ht="15.6" x14ac:dyDescent="0.3">
      <c r="B23" s="424" t="s">
        <v>68</v>
      </c>
      <c r="C23" s="105" t="s">
        <v>494</v>
      </c>
      <c r="D23" s="425">
        <v>0</v>
      </c>
      <c r="E23" s="426"/>
      <c r="F23" s="427">
        <v>0</v>
      </c>
    </row>
    <row r="24" spans="2:6" ht="15.6" x14ac:dyDescent="0.3">
      <c r="B24" s="424" t="s">
        <v>70</v>
      </c>
      <c r="C24" s="105" t="s">
        <v>495</v>
      </c>
      <c r="D24" s="435">
        <v>0</v>
      </c>
      <c r="E24" s="436"/>
      <c r="F24" s="427">
        <v>194.90655525904</v>
      </c>
    </row>
    <row r="25" spans="2:6" ht="15.6" x14ac:dyDescent="0.3">
      <c r="B25" s="424" t="s">
        <v>72</v>
      </c>
      <c r="C25" s="105" t="s">
        <v>528</v>
      </c>
      <c r="D25" s="435">
        <v>0</v>
      </c>
      <c r="E25" s="436"/>
      <c r="F25" s="435">
        <v>1.73</v>
      </c>
    </row>
    <row r="26" spans="2:6" ht="15.6" x14ac:dyDescent="0.3">
      <c r="B26" s="424" t="s">
        <v>74</v>
      </c>
      <c r="C26" s="105" t="s">
        <v>73</v>
      </c>
      <c r="D26" s="435">
        <v>0</v>
      </c>
      <c r="E26" s="436"/>
      <c r="F26" s="435">
        <v>7.2734447409599916</v>
      </c>
    </row>
    <row r="27" spans="2:6" ht="15.6" x14ac:dyDescent="0.3">
      <c r="B27" s="424" t="s">
        <v>76</v>
      </c>
      <c r="C27" s="105" t="s">
        <v>75</v>
      </c>
      <c r="D27" s="425">
        <v>0</v>
      </c>
      <c r="E27" s="440"/>
      <c r="F27" s="441">
        <v>301.45279092320004</v>
      </c>
    </row>
    <row r="28" spans="2:6" ht="15.6" x14ac:dyDescent="0.3">
      <c r="B28" s="424" t="s">
        <v>78</v>
      </c>
      <c r="C28" s="105" t="s">
        <v>77</v>
      </c>
      <c r="D28" s="425">
        <v>0</v>
      </c>
      <c r="E28" s="426"/>
      <c r="F28" s="427">
        <v>8.2750000000000004</v>
      </c>
    </row>
    <row r="29" spans="2:6" ht="15.6" x14ac:dyDescent="0.3">
      <c r="B29" s="424" t="s">
        <v>80</v>
      </c>
      <c r="C29" s="105" t="s">
        <v>79</v>
      </c>
      <c r="D29" s="425">
        <v>0</v>
      </c>
      <c r="E29" s="426"/>
      <c r="F29" s="427">
        <v>24.945218448894806</v>
      </c>
    </row>
    <row r="30" spans="2:6" ht="15.6" x14ac:dyDescent="0.3">
      <c r="B30" s="424" t="s">
        <v>529</v>
      </c>
      <c r="C30" s="429" t="s">
        <v>81</v>
      </c>
      <c r="D30" s="437" t="s">
        <v>365</v>
      </c>
      <c r="E30" s="426"/>
      <c r="F30" s="438" t="s">
        <v>365</v>
      </c>
    </row>
    <row r="31" spans="2:6" ht="15.6" x14ac:dyDescent="0.3">
      <c r="B31" s="431">
        <v>3</v>
      </c>
      <c r="C31" s="310" t="s">
        <v>82</v>
      </c>
      <c r="D31" s="439"/>
      <c r="E31" s="433"/>
      <c r="F31" s="434"/>
    </row>
    <row r="32" spans="2:6" ht="15.6" x14ac:dyDescent="0.3">
      <c r="B32" s="424" t="s">
        <v>62</v>
      </c>
      <c r="C32" s="105" t="s">
        <v>63</v>
      </c>
      <c r="D32" s="425">
        <v>0</v>
      </c>
      <c r="E32" s="426"/>
      <c r="F32" s="427">
        <v>370.26000000000005</v>
      </c>
    </row>
    <row r="33" spans="2:6" ht="15.6" x14ac:dyDescent="0.3">
      <c r="B33" s="424" t="s">
        <v>64</v>
      </c>
      <c r="C33" s="105" t="s">
        <v>65</v>
      </c>
      <c r="D33" s="425">
        <v>0</v>
      </c>
      <c r="E33" s="426"/>
      <c r="F33" s="427">
        <v>370.26</v>
      </c>
    </row>
    <row r="34" spans="2:6" ht="15.6" x14ac:dyDescent="0.3">
      <c r="B34" s="424" t="s">
        <v>66</v>
      </c>
      <c r="C34" s="105" t="s">
        <v>67</v>
      </c>
      <c r="D34" s="425">
        <v>0</v>
      </c>
      <c r="E34" s="426"/>
      <c r="F34" s="427">
        <v>203.91</v>
      </c>
    </row>
    <row r="35" spans="2:6" ht="15.6" x14ac:dyDescent="0.3">
      <c r="B35" s="424" t="s">
        <v>68</v>
      </c>
      <c r="C35" s="105" t="s">
        <v>69</v>
      </c>
      <c r="D35" s="425">
        <v>0</v>
      </c>
      <c r="E35" s="426"/>
      <c r="F35" s="427">
        <v>0</v>
      </c>
    </row>
    <row r="36" spans="2:6" ht="15.6" x14ac:dyDescent="0.3">
      <c r="B36" s="424" t="s">
        <v>530</v>
      </c>
      <c r="C36" s="105" t="s">
        <v>71</v>
      </c>
      <c r="D36" s="425">
        <v>0</v>
      </c>
      <c r="E36" s="426"/>
      <c r="F36" s="427">
        <v>194.90655525904</v>
      </c>
    </row>
    <row r="37" spans="2:6" ht="15.6" x14ac:dyDescent="0.3">
      <c r="B37" s="424" t="s">
        <v>72</v>
      </c>
      <c r="C37" s="105" t="s">
        <v>73</v>
      </c>
      <c r="D37" s="425">
        <v>0</v>
      </c>
      <c r="E37" s="426"/>
      <c r="F37" s="427">
        <v>7.2734447409599916</v>
      </c>
    </row>
    <row r="38" spans="2:6" ht="15.6" x14ac:dyDescent="0.3">
      <c r="B38" s="424" t="s">
        <v>74</v>
      </c>
      <c r="C38" s="105" t="s">
        <v>75</v>
      </c>
      <c r="D38" s="425">
        <v>0</v>
      </c>
      <c r="E38" s="440"/>
      <c r="F38" s="441"/>
    </row>
    <row r="39" spans="2:6" ht="15.6" customHeight="1" x14ac:dyDescent="0.3">
      <c r="B39" s="424" t="s">
        <v>76</v>
      </c>
      <c r="C39" s="304" t="s">
        <v>83</v>
      </c>
      <c r="D39" s="442">
        <v>0</v>
      </c>
      <c r="E39" s="443"/>
      <c r="F39" s="444">
        <v>24.945218448894806</v>
      </c>
    </row>
    <row r="40" spans="2:6" ht="16.2" thickBot="1" x14ac:dyDescent="0.35">
      <c r="B40" s="424" t="s">
        <v>78</v>
      </c>
      <c r="C40" s="314" t="s">
        <v>84</v>
      </c>
      <c r="D40" s="445"/>
      <c r="E40" s="446"/>
      <c r="F40" s="782">
        <v>9.11E-2</v>
      </c>
    </row>
    <row r="41" spans="2:6" ht="15.6" x14ac:dyDescent="0.3">
      <c r="C41" s="1" t="s">
        <v>463</v>
      </c>
    </row>
  </sheetData>
  <mergeCells count="5">
    <mergeCell ref="B2:F2"/>
    <mergeCell ref="B3:F3"/>
    <mergeCell ref="B4:F4"/>
    <mergeCell ref="B5:B6"/>
    <mergeCell ref="C5:C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C00000"/>
    <pageSetUpPr fitToPage="1"/>
  </sheetPr>
  <dimension ref="B1:H26"/>
  <sheetViews>
    <sheetView view="pageBreakPreview" zoomScale="60" zoomScaleNormal="100" workbookViewId="0">
      <selection activeCell="N23" sqref="N23"/>
    </sheetView>
  </sheetViews>
  <sheetFormatPr defaultColWidth="9.109375" defaultRowHeight="13.8" x14ac:dyDescent="0.25"/>
  <cols>
    <col min="1" max="1" width="9.109375" style="1"/>
    <col min="2" max="2" width="9.21875" style="1" bestFit="1" customWidth="1"/>
    <col min="3" max="3" width="41" style="1" customWidth="1"/>
    <col min="4" max="4" width="10.33203125" style="1" bestFit="1" customWidth="1"/>
    <col min="5" max="5" width="11.6640625" style="1" customWidth="1"/>
    <col min="6" max="6" width="10.33203125" style="1" bestFit="1" customWidth="1"/>
    <col min="7" max="7" width="10.77734375" style="1" customWidth="1"/>
    <col min="8" max="10" width="9.109375" style="1"/>
    <col min="11" max="11" width="11.109375" style="1" customWidth="1"/>
    <col min="12" max="12" width="9.109375" style="1" customWidth="1"/>
    <col min="13" max="16384" width="9.109375" style="1"/>
  </cols>
  <sheetData>
    <row r="1" spans="2:8" ht="14.4" thickBot="1" x14ac:dyDescent="0.3"/>
    <row r="2" spans="2:8" ht="16.2" thickBot="1" x14ac:dyDescent="0.35">
      <c r="B2" s="1114" t="s">
        <v>541</v>
      </c>
      <c r="C2" s="1115"/>
      <c r="D2" s="1115"/>
      <c r="E2" s="1115"/>
      <c r="F2" s="1115"/>
      <c r="G2" s="1116"/>
      <c r="H2" s="73"/>
    </row>
    <row r="3" spans="2:8" ht="16.2" thickBot="1" x14ac:dyDescent="0.35">
      <c r="B3" s="985" t="s">
        <v>269</v>
      </c>
      <c r="C3" s="986"/>
      <c r="D3" s="986"/>
      <c r="E3" s="986"/>
      <c r="F3" s="986"/>
      <c r="G3" s="987"/>
      <c r="H3" s="73"/>
    </row>
    <row r="4" spans="2:8" ht="16.2" thickBot="1" x14ac:dyDescent="0.35">
      <c r="B4" s="985" t="s">
        <v>204</v>
      </c>
      <c r="C4" s="986"/>
      <c r="D4" s="986"/>
      <c r="E4" s="986"/>
      <c r="F4" s="986"/>
      <c r="G4" s="987"/>
      <c r="H4" s="73"/>
    </row>
    <row r="5" spans="2:8" ht="15.6" x14ac:dyDescent="0.3">
      <c r="B5" s="1117" t="s">
        <v>85</v>
      </c>
      <c r="C5" s="1119" t="s">
        <v>1</v>
      </c>
      <c r="D5" s="662" t="s">
        <v>551</v>
      </c>
      <c r="E5" s="662" t="s">
        <v>551</v>
      </c>
      <c r="F5" s="662" t="s">
        <v>517</v>
      </c>
      <c r="G5" s="447" t="s">
        <v>2</v>
      </c>
      <c r="H5" s="73"/>
    </row>
    <row r="6" spans="2:8" ht="31.2" x14ac:dyDescent="0.3">
      <c r="B6" s="1118"/>
      <c r="C6" s="1120"/>
      <c r="D6" s="410" t="s">
        <v>3</v>
      </c>
      <c r="E6" s="448" t="s">
        <v>437</v>
      </c>
      <c r="F6" s="410" t="s">
        <v>3</v>
      </c>
      <c r="G6" s="449"/>
      <c r="H6" s="73"/>
    </row>
    <row r="7" spans="2:8" ht="15.6" x14ac:dyDescent="0.3">
      <c r="B7" s="450">
        <v>1</v>
      </c>
      <c r="C7" s="451">
        <v>2</v>
      </c>
      <c r="D7" s="451">
        <v>3</v>
      </c>
      <c r="E7" s="451">
        <v>4</v>
      </c>
      <c r="F7" s="451">
        <v>5</v>
      </c>
      <c r="G7" s="452">
        <v>6</v>
      </c>
      <c r="H7" s="73"/>
    </row>
    <row r="8" spans="2:8" ht="15.6" x14ac:dyDescent="0.3">
      <c r="B8" s="453">
        <v>1</v>
      </c>
      <c r="C8" s="454" t="s">
        <v>366</v>
      </c>
      <c r="D8" s="425">
        <v>54.916934356766667</v>
      </c>
      <c r="E8" s="455"/>
      <c r="F8" s="425">
        <v>45.893243361050004</v>
      </c>
      <c r="G8" s="456"/>
      <c r="H8" s="73"/>
    </row>
    <row r="9" spans="2:8" ht="15.6" x14ac:dyDescent="0.3">
      <c r="B9" s="453">
        <v>2</v>
      </c>
      <c r="C9" s="454" t="s">
        <v>367</v>
      </c>
      <c r="D9" s="425">
        <v>0</v>
      </c>
      <c r="E9" s="455"/>
      <c r="F9" s="425">
        <v>0</v>
      </c>
      <c r="G9" s="456"/>
      <c r="H9" s="73"/>
    </row>
    <row r="10" spans="2:8" ht="15.6" x14ac:dyDescent="0.3">
      <c r="B10" s="453">
        <v>3</v>
      </c>
      <c r="C10" s="454" t="s">
        <v>368</v>
      </c>
      <c r="D10" s="425">
        <v>1113.9793727891099</v>
      </c>
      <c r="E10" s="455"/>
      <c r="F10" s="425">
        <v>719.54617248848069</v>
      </c>
      <c r="G10" s="456"/>
      <c r="H10" s="73"/>
    </row>
    <row r="11" spans="2:8" ht="15.6" x14ac:dyDescent="0.3">
      <c r="B11" s="453">
        <v>4</v>
      </c>
      <c r="C11" s="454" t="s">
        <v>369</v>
      </c>
      <c r="D11" s="781">
        <v>1948.7731000000001</v>
      </c>
      <c r="E11" s="457"/>
      <c r="F11" s="781">
        <v>1659.5735199999999</v>
      </c>
      <c r="G11" s="456"/>
      <c r="H11" s="73"/>
    </row>
    <row r="12" spans="2:8" ht="15.6" x14ac:dyDescent="0.3">
      <c r="B12" s="458">
        <v>5</v>
      </c>
      <c r="C12" s="459" t="s">
        <v>370</v>
      </c>
      <c r="D12" s="425">
        <v>462.42756422083329</v>
      </c>
      <c r="E12" s="455"/>
      <c r="F12" s="425">
        <v>291.23555907466664</v>
      </c>
      <c r="G12" s="456"/>
      <c r="H12" s="73"/>
    </row>
    <row r="13" spans="2:8" ht="15.6" x14ac:dyDescent="0.3">
      <c r="B13" s="450">
        <v>6</v>
      </c>
      <c r="C13" s="460" t="s">
        <v>373</v>
      </c>
      <c r="D13" s="461">
        <v>0</v>
      </c>
      <c r="E13" s="462"/>
      <c r="F13" s="461">
        <v>0</v>
      </c>
      <c r="G13" s="463"/>
      <c r="H13" s="73"/>
    </row>
    <row r="14" spans="2:8" ht="15.6" x14ac:dyDescent="0.3">
      <c r="B14" s="464">
        <v>7</v>
      </c>
      <c r="C14" s="465" t="s">
        <v>371</v>
      </c>
      <c r="D14" s="466">
        <v>0.1</v>
      </c>
      <c r="E14" s="467"/>
      <c r="F14" s="466">
        <v>0.1</v>
      </c>
      <c r="G14" s="468"/>
      <c r="H14" s="73"/>
    </row>
    <row r="15" spans="2:8" ht="16.2" thickBot="1" x14ac:dyDescent="0.35">
      <c r="B15" s="469">
        <v>8</v>
      </c>
      <c r="C15" s="470" t="s">
        <v>86</v>
      </c>
      <c r="D15" s="471">
        <v>0</v>
      </c>
      <c r="E15" s="472" t="s">
        <v>372</v>
      </c>
      <c r="F15" s="471">
        <v>0</v>
      </c>
      <c r="G15" s="473"/>
      <c r="H15" s="73"/>
    </row>
    <row r="18" spans="2:7" ht="15" customHeight="1" x14ac:dyDescent="0.25"/>
    <row r="19" spans="2:7" x14ac:dyDescent="0.25">
      <c r="B19" s="177"/>
      <c r="G19" s="178"/>
    </row>
    <row r="20" spans="2:7" x14ac:dyDescent="0.25">
      <c r="B20" s="177"/>
      <c r="G20" s="179"/>
    </row>
    <row r="25" spans="2:7" ht="14.4" x14ac:dyDescent="0.3">
      <c r="B25" s="180"/>
      <c r="C25" s="181"/>
      <c r="G25" s="182"/>
    </row>
    <row r="26" spans="2:7" ht="14.4" x14ac:dyDescent="0.3">
      <c r="B26" s="180"/>
      <c r="C26" s="183"/>
      <c r="G26" s="182"/>
    </row>
  </sheetData>
  <mergeCells count="5">
    <mergeCell ref="B2:G2"/>
    <mergeCell ref="B3:G3"/>
    <mergeCell ref="B4:G4"/>
    <mergeCell ref="B5:B6"/>
    <mergeCell ref="C5:C6"/>
  </mergeCells>
  <phoneticPr fontId="1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3" orientation="portrait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C00000"/>
    <pageSetUpPr fitToPage="1"/>
  </sheetPr>
  <dimension ref="B1:G16"/>
  <sheetViews>
    <sheetView view="pageBreakPreview" zoomScaleNormal="100" zoomScaleSheetLayoutView="100" workbookViewId="0">
      <selection activeCell="J10" sqref="J10"/>
    </sheetView>
  </sheetViews>
  <sheetFormatPr defaultColWidth="9.109375" defaultRowHeight="13.8" x14ac:dyDescent="0.25"/>
  <cols>
    <col min="1" max="1" width="9.109375" style="1"/>
    <col min="2" max="2" width="5.21875" style="1" customWidth="1"/>
    <col min="3" max="3" width="37.88671875" style="1" customWidth="1"/>
    <col min="4" max="4" width="9.109375" style="1"/>
    <col min="5" max="5" width="10.88671875" style="1" bestFit="1" customWidth="1"/>
    <col min="6" max="16384" width="9.109375" style="1"/>
  </cols>
  <sheetData>
    <row r="1" spans="2:7" ht="14.4" thickBot="1" x14ac:dyDescent="0.3"/>
    <row r="2" spans="2:7" ht="16.2" thickBot="1" x14ac:dyDescent="0.35">
      <c r="B2" s="1121" t="s">
        <v>542</v>
      </c>
      <c r="C2" s="1122"/>
      <c r="D2" s="1122"/>
      <c r="E2" s="1122"/>
      <c r="F2" s="1122"/>
      <c r="G2" s="1123"/>
    </row>
    <row r="3" spans="2:7" ht="14.4" thickBot="1" x14ac:dyDescent="0.3">
      <c r="B3" s="1124" t="s">
        <v>374</v>
      </c>
      <c r="C3" s="1125"/>
      <c r="D3" s="1125"/>
      <c r="E3" s="1125"/>
      <c r="F3" s="1125"/>
      <c r="G3" s="1126"/>
    </row>
    <row r="4" spans="2:7" x14ac:dyDescent="0.25">
      <c r="B4" s="1127" t="s">
        <v>375</v>
      </c>
      <c r="C4" s="1128"/>
      <c r="D4" s="1128"/>
      <c r="E4" s="1128"/>
      <c r="F4" s="1128"/>
      <c r="G4" s="1129"/>
    </row>
    <row r="5" spans="2:7" x14ac:dyDescent="0.25">
      <c r="B5" s="1130" t="s">
        <v>300</v>
      </c>
      <c r="C5" s="1131" t="s">
        <v>1</v>
      </c>
      <c r="D5" s="1131" t="s">
        <v>87</v>
      </c>
      <c r="E5" s="662" t="s">
        <v>551</v>
      </c>
      <c r="F5" s="662" t="s">
        <v>551</v>
      </c>
      <c r="G5" s="662" t="s">
        <v>517</v>
      </c>
    </row>
    <row r="6" spans="2:7" ht="27.6" x14ac:dyDescent="0.25">
      <c r="B6" s="1130"/>
      <c r="C6" s="1131"/>
      <c r="D6" s="1131"/>
      <c r="E6" s="474" t="s">
        <v>3</v>
      </c>
      <c r="F6" s="474" t="s">
        <v>438</v>
      </c>
      <c r="G6" s="475" t="s">
        <v>3</v>
      </c>
    </row>
    <row r="7" spans="2:7" x14ac:dyDescent="0.25">
      <c r="B7" s="476">
        <v>1</v>
      </c>
      <c r="C7" s="477">
        <v>2</v>
      </c>
      <c r="D7" s="477">
        <v>3</v>
      </c>
      <c r="E7" s="478">
        <v>4</v>
      </c>
      <c r="F7" s="478">
        <v>5</v>
      </c>
      <c r="G7" s="479">
        <v>6</v>
      </c>
    </row>
    <row r="8" spans="2:7" ht="24.75" customHeight="1" x14ac:dyDescent="0.25">
      <c r="B8" s="480">
        <v>1</v>
      </c>
      <c r="C8" s="481" t="s">
        <v>89</v>
      </c>
      <c r="D8" s="482"/>
      <c r="E8" s="483">
        <v>1637.1270183417585</v>
      </c>
      <c r="F8" s="484"/>
      <c r="G8" s="485">
        <v>1769.4626439527199</v>
      </c>
    </row>
    <row r="9" spans="2:7" x14ac:dyDescent="0.25">
      <c r="B9" s="486">
        <v>2</v>
      </c>
      <c r="C9" s="487" t="s">
        <v>90</v>
      </c>
      <c r="D9" s="488"/>
      <c r="E9" s="791">
        <v>5.5E-2</v>
      </c>
      <c r="F9" s="791">
        <v>5.5E-2</v>
      </c>
      <c r="G9" s="489">
        <v>0.03</v>
      </c>
    </row>
    <row r="10" spans="2:7" ht="14.4" thickBot="1" x14ac:dyDescent="0.3">
      <c r="B10" s="490">
        <v>3</v>
      </c>
      <c r="C10" s="491" t="s">
        <v>91</v>
      </c>
      <c r="D10" s="492"/>
      <c r="E10" s="672">
        <v>90.041986008796712</v>
      </c>
      <c r="F10" s="672">
        <v>21.07</v>
      </c>
      <c r="G10" s="671">
        <v>53.083879318581594</v>
      </c>
    </row>
    <row r="15" spans="2:7" x14ac:dyDescent="0.25">
      <c r="B15" s="177"/>
      <c r="G15" s="178"/>
    </row>
    <row r="16" spans="2:7" x14ac:dyDescent="0.25">
      <c r="B16" s="177"/>
      <c r="G16" s="179"/>
    </row>
  </sheetData>
  <mergeCells count="6">
    <mergeCell ref="B2:G2"/>
    <mergeCell ref="B3:G3"/>
    <mergeCell ref="B4:G4"/>
    <mergeCell ref="B5:B6"/>
    <mergeCell ref="C5:C6"/>
    <mergeCell ref="D5:D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C00000"/>
    <pageSetUpPr fitToPage="1"/>
  </sheetPr>
  <dimension ref="B1:M11"/>
  <sheetViews>
    <sheetView view="pageBreakPreview" zoomScale="60" zoomScaleNormal="85" workbookViewId="0">
      <selection activeCell="P18" sqref="P18"/>
    </sheetView>
  </sheetViews>
  <sheetFormatPr defaultColWidth="9.109375" defaultRowHeight="15.6" x14ac:dyDescent="0.3"/>
  <cols>
    <col min="1" max="1" width="9.109375" style="73"/>
    <col min="2" max="2" width="6.77734375" style="73" customWidth="1"/>
    <col min="3" max="3" width="23.6640625" style="73" customWidth="1"/>
    <col min="4" max="4" width="9.6640625" style="73" bestFit="1" customWidth="1"/>
    <col min="5" max="5" width="8" style="73" bestFit="1" customWidth="1"/>
    <col min="6" max="6" width="7" style="73" bestFit="1" customWidth="1"/>
    <col min="7" max="7" width="11.77734375" style="73" customWidth="1"/>
    <col min="8" max="8" width="10" style="73" bestFit="1" customWidth="1"/>
    <col min="9" max="10" width="5.109375" style="73" bestFit="1" customWidth="1"/>
    <col min="11" max="11" width="5.88671875" style="73" bestFit="1" customWidth="1"/>
    <col min="12" max="12" width="9.6640625" style="73" bestFit="1" customWidth="1"/>
    <col min="13" max="13" width="13.109375" style="73" customWidth="1"/>
    <col min="14" max="16384" width="9.109375" style="73"/>
  </cols>
  <sheetData>
    <row r="1" spans="2:13" ht="16.2" thickBot="1" x14ac:dyDescent="0.35"/>
    <row r="2" spans="2:13" ht="16.2" thickBot="1" x14ac:dyDescent="0.35">
      <c r="B2" s="1132" t="s">
        <v>543</v>
      </c>
      <c r="C2" s="1133"/>
      <c r="D2" s="1133"/>
      <c r="E2" s="1133"/>
      <c r="F2" s="1133"/>
      <c r="G2" s="1133"/>
      <c r="H2" s="1133"/>
      <c r="I2" s="1133"/>
      <c r="J2" s="1133"/>
      <c r="K2" s="1133"/>
      <c r="L2" s="1133"/>
      <c r="M2" s="1134"/>
    </row>
    <row r="3" spans="2:13" ht="16.2" thickBot="1" x14ac:dyDescent="0.35">
      <c r="B3" s="985" t="s">
        <v>269</v>
      </c>
      <c r="C3" s="986"/>
      <c r="D3" s="986"/>
      <c r="E3" s="986"/>
      <c r="F3" s="986"/>
      <c r="G3" s="986"/>
      <c r="H3" s="986"/>
      <c r="I3" s="986"/>
      <c r="J3" s="986"/>
      <c r="K3" s="986"/>
      <c r="L3" s="986"/>
      <c r="M3" s="987"/>
    </row>
    <row r="4" spans="2:13" ht="16.2" thickBot="1" x14ac:dyDescent="0.35">
      <c r="B4" s="985" t="s">
        <v>376</v>
      </c>
      <c r="C4" s="986"/>
      <c r="D4" s="986"/>
      <c r="E4" s="986"/>
      <c r="F4" s="986"/>
      <c r="G4" s="986"/>
      <c r="H4" s="986"/>
      <c r="I4" s="986"/>
      <c r="J4" s="986"/>
      <c r="K4" s="986"/>
      <c r="L4" s="986"/>
      <c r="M4" s="987"/>
    </row>
    <row r="5" spans="2:13" ht="18" customHeight="1" x14ac:dyDescent="0.3">
      <c r="B5" s="1135" t="s">
        <v>300</v>
      </c>
      <c r="C5" s="1085" t="s">
        <v>92</v>
      </c>
      <c r="D5" s="1137" t="s">
        <v>93</v>
      </c>
      <c r="E5" s="1138"/>
      <c r="F5" s="1138"/>
      <c r="G5" s="1138"/>
      <c r="H5" s="1139"/>
      <c r="I5" s="1137" t="s">
        <v>94</v>
      </c>
      <c r="J5" s="1138"/>
      <c r="K5" s="1138"/>
      <c r="L5" s="1139"/>
      <c r="M5" s="1140" t="s">
        <v>95</v>
      </c>
    </row>
    <row r="6" spans="2:13" ht="87.75" customHeight="1" x14ac:dyDescent="0.3">
      <c r="B6" s="1136"/>
      <c r="C6" s="1087"/>
      <c r="D6" s="654" t="s">
        <v>555</v>
      </c>
      <c r="E6" s="654" t="s">
        <v>96</v>
      </c>
      <c r="F6" s="654" t="s">
        <v>97</v>
      </c>
      <c r="G6" s="654" t="s">
        <v>98</v>
      </c>
      <c r="H6" s="654" t="s">
        <v>554</v>
      </c>
      <c r="I6" s="654" t="s">
        <v>99</v>
      </c>
      <c r="J6" s="654" t="s">
        <v>88</v>
      </c>
      <c r="K6" s="654" t="s">
        <v>100</v>
      </c>
      <c r="L6" s="654" t="s">
        <v>101</v>
      </c>
      <c r="M6" s="1141"/>
    </row>
    <row r="7" spans="2:13" x14ac:dyDescent="0.3">
      <c r="B7" s="493">
        <v>1</v>
      </c>
      <c r="C7" s="494">
        <v>2</v>
      </c>
      <c r="D7" s="494">
        <v>3</v>
      </c>
      <c r="E7" s="494">
        <v>4</v>
      </c>
      <c r="F7" s="494">
        <v>5</v>
      </c>
      <c r="G7" s="494">
        <v>6</v>
      </c>
      <c r="H7" s="494">
        <v>7</v>
      </c>
      <c r="I7" s="494">
        <v>8</v>
      </c>
      <c r="J7" s="494">
        <v>9</v>
      </c>
      <c r="K7" s="495">
        <v>10</v>
      </c>
      <c r="L7" s="494">
        <v>11</v>
      </c>
      <c r="M7" s="496">
        <v>12</v>
      </c>
    </row>
    <row r="8" spans="2:13" x14ac:dyDescent="0.3">
      <c r="B8" s="395">
        <v>1</v>
      </c>
      <c r="C8" s="497" t="s">
        <v>377</v>
      </c>
      <c r="D8" s="498">
        <v>202.14050039999992</v>
      </c>
      <c r="E8" s="498">
        <v>191.13</v>
      </c>
      <c r="F8" s="498">
        <v>0</v>
      </c>
      <c r="G8" s="498">
        <v>336.63</v>
      </c>
      <c r="H8" s="498">
        <v>56.640500399999951</v>
      </c>
      <c r="I8" s="498">
        <v>0</v>
      </c>
      <c r="J8" s="498">
        <v>0</v>
      </c>
      <c r="K8" s="498">
        <v>0</v>
      </c>
      <c r="L8" s="498">
        <v>56.640500399999951</v>
      </c>
      <c r="M8" s="499"/>
    </row>
    <row r="9" spans="2:13" x14ac:dyDescent="0.3">
      <c r="B9" s="395">
        <v>2</v>
      </c>
      <c r="C9" s="497" t="s">
        <v>242</v>
      </c>
      <c r="D9" s="498">
        <v>0</v>
      </c>
      <c r="E9" s="498">
        <v>0</v>
      </c>
      <c r="F9" s="498">
        <v>0</v>
      </c>
      <c r="G9" s="498">
        <v>0</v>
      </c>
      <c r="H9" s="498">
        <v>0</v>
      </c>
      <c r="I9" s="498">
        <v>0</v>
      </c>
      <c r="J9" s="498">
        <v>0</v>
      </c>
      <c r="K9" s="498">
        <v>0</v>
      </c>
      <c r="L9" s="498">
        <v>0</v>
      </c>
      <c r="M9" s="499"/>
    </row>
    <row r="10" spans="2:13" x14ac:dyDescent="0.3">
      <c r="B10" s="395">
        <v>3</v>
      </c>
      <c r="C10" s="497" t="s">
        <v>378</v>
      </c>
      <c r="D10" s="498">
        <v>9.41</v>
      </c>
      <c r="E10" s="498">
        <v>21.93</v>
      </c>
      <c r="F10" s="498">
        <v>0</v>
      </c>
      <c r="G10" s="498">
        <v>31.09</v>
      </c>
      <c r="H10" s="498">
        <v>0.25</v>
      </c>
      <c r="I10" s="498">
        <v>0</v>
      </c>
      <c r="J10" s="498">
        <v>0</v>
      </c>
      <c r="K10" s="498">
        <v>0</v>
      </c>
      <c r="L10" s="498">
        <v>0.25</v>
      </c>
      <c r="M10" s="499"/>
    </row>
    <row r="11" spans="2:13" ht="16.2" thickBot="1" x14ac:dyDescent="0.35">
      <c r="B11" s="388">
        <v>4</v>
      </c>
      <c r="C11" s="407" t="s">
        <v>379</v>
      </c>
      <c r="D11" s="70">
        <v>211.55050039999992</v>
      </c>
      <c r="E11" s="70">
        <v>213.06</v>
      </c>
      <c r="F11" s="70">
        <v>0</v>
      </c>
      <c r="G11" s="70">
        <v>367.71999999999997</v>
      </c>
      <c r="H11" s="70">
        <v>56.890500399999951</v>
      </c>
      <c r="I11" s="70">
        <v>0</v>
      </c>
      <c r="J11" s="70">
        <v>0</v>
      </c>
      <c r="K11" s="70">
        <v>0</v>
      </c>
      <c r="L11" s="70">
        <v>56.890500399999951</v>
      </c>
      <c r="M11" s="71">
        <v>0</v>
      </c>
    </row>
  </sheetData>
  <mergeCells count="8">
    <mergeCell ref="B2:M2"/>
    <mergeCell ref="B3:M3"/>
    <mergeCell ref="B4:M4"/>
    <mergeCell ref="B5:B6"/>
    <mergeCell ref="C5:C6"/>
    <mergeCell ref="D5:H5"/>
    <mergeCell ref="I5:L5"/>
    <mergeCell ref="M5:M6"/>
  </mergeCells>
  <printOptions horizontalCentered="1" verticalCentered="1"/>
  <pageMargins left="0.25" right="0.25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C00000"/>
    <pageSetUpPr fitToPage="1"/>
  </sheetPr>
  <dimension ref="B1:F25"/>
  <sheetViews>
    <sheetView view="pageBreakPreview" zoomScale="85" zoomScaleNormal="100" zoomScaleSheetLayoutView="85" workbookViewId="0">
      <selection activeCell="G20" sqref="G20"/>
    </sheetView>
  </sheetViews>
  <sheetFormatPr defaultColWidth="9.109375" defaultRowHeight="13.8" x14ac:dyDescent="0.25"/>
  <cols>
    <col min="1" max="1" width="9.109375" style="1"/>
    <col min="2" max="2" width="11.109375" style="1" customWidth="1"/>
    <col min="3" max="3" width="41.6640625" style="1" customWidth="1"/>
    <col min="4" max="4" width="9.109375" style="1"/>
    <col min="5" max="5" width="13" style="1" bestFit="1" customWidth="1"/>
    <col min="6" max="6" width="20" style="1" customWidth="1"/>
    <col min="7" max="16384" width="9.109375" style="1"/>
  </cols>
  <sheetData>
    <row r="1" spans="2:6" ht="14.4" thickBot="1" x14ac:dyDescent="0.3"/>
    <row r="2" spans="2:6" ht="21.15" customHeight="1" thickBot="1" x14ac:dyDescent="0.35">
      <c r="B2" s="1142" t="s">
        <v>544</v>
      </c>
      <c r="C2" s="1143"/>
      <c r="D2" s="1143"/>
      <c r="E2" s="1143"/>
      <c r="F2" s="1144"/>
    </row>
    <row r="3" spans="2:6" ht="14.4" thickBot="1" x14ac:dyDescent="0.3">
      <c r="B3" s="994" t="s">
        <v>382</v>
      </c>
      <c r="C3" s="995"/>
      <c r="D3" s="995"/>
      <c r="E3" s="995"/>
      <c r="F3" s="996"/>
    </row>
    <row r="4" spans="2:6" x14ac:dyDescent="0.25">
      <c r="B4" s="1145" t="s">
        <v>380</v>
      </c>
      <c r="C4" s="1146"/>
      <c r="D4" s="1146"/>
      <c r="E4" s="1146"/>
      <c r="F4" s="1147"/>
    </row>
    <row r="5" spans="2:6" ht="27.6" x14ac:dyDescent="0.25">
      <c r="B5" s="927" t="s">
        <v>0</v>
      </c>
      <c r="C5" s="927" t="s">
        <v>102</v>
      </c>
      <c r="D5" s="927" t="s">
        <v>103</v>
      </c>
      <c r="E5" s="927" t="s">
        <v>381</v>
      </c>
      <c r="F5" s="927" t="s">
        <v>104</v>
      </c>
    </row>
    <row r="6" spans="2:6" x14ac:dyDescent="0.25">
      <c r="B6" s="928">
        <v>1</v>
      </c>
      <c r="C6" s="927">
        <v>2</v>
      </c>
      <c r="D6" s="928">
        <v>3</v>
      </c>
      <c r="E6" s="928">
        <v>4</v>
      </c>
      <c r="F6" s="928">
        <v>5</v>
      </c>
    </row>
    <row r="7" spans="2:6" x14ac:dyDescent="0.25">
      <c r="B7" s="501">
        <v>1</v>
      </c>
      <c r="C7" s="500" t="s">
        <v>556</v>
      </c>
      <c r="D7" s="501"/>
      <c r="E7" s="502">
        <v>336.63</v>
      </c>
      <c r="F7" s="501"/>
    </row>
    <row r="8" spans="2:6" x14ac:dyDescent="0.25">
      <c r="B8" s="501">
        <v>2</v>
      </c>
      <c r="C8" s="500" t="s">
        <v>557</v>
      </c>
      <c r="D8" s="501"/>
      <c r="E8" s="502">
        <v>9.16</v>
      </c>
      <c r="F8" s="501"/>
    </row>
    <row r="9" spans="2:6" x14ac:dyDescent="0.25">
      <c r="B9" s="501">
        <v>3</v>
      </c>
      <c r="C9" s="500" t="s">
        <v>568</v>
      </c>
      <c r="D9" s="501"/>
      <c r="E9" s="502">
        <v>5.75</v>
      </c>
      <c r="F9" s="501"/>
    </row>
    <row r="10" spans="2:6" x14ac:dyDescent="0.25">
      <c r="B10" s="501">
        <v>4</v>
      </c>
      <c r="C10" s="500" t="s">
        <v>567</v>
      </c>
      <c r="D10" s="501"/>
      <c r="E10" s="502">
        <v>3.06</v>
      </c>
      <c r="F10" s="501"/>
    </row>
    <row r="11" spans="2:6" ht="27.6" x14ac:dyDescent="0.25">
      <c r="B11" s="501">
        <v>5</v>
      </c>
      <c r="C11" s="500" t="s">
        <v>584</v>
      </c>
      <c r="D11" s="501"/>
      <c r="E11" s="502">
        <v>21.93</v>
      </c>
      <c r="F11" s="501"/>
    </row>
    <row r="12" spans="2:6" ht="27.6" x14ac:dyDescent="0.25">
      <c r="B12" s="501">
        <v>6</v>
      </c>
      <c r="C12" s="500" t="s">
        <v>585</v>
      </c>
      <c r="D12" s="501"/>
      <c r="E12" s="502">
        <v>26.41</v>
      </c>
      <c r="F12" s="501"/>
    </row>
    <row r="13" spans="2:6" x14ac:dyDescent="0.25">
      <c r="B13" s="929"/>
      <c r="C13" s="930" t="s">
        <v>22</v>
      </c>
      <c r="D13" s="930"/>
      <c r="E13" s="931">
        <v>402.94000000000005</v>
      </c>
      <c r="F13" s="929"/>
    </row>
    <row r="15" spans="2:6" x14ac:dyDescent="0.25">
      <c r="E15" s="25"/>
    </row>
    <row r="18" spans="2:6" x14ac:dyDescent="0.25">
      <c r="B18" s="177"/>
      <c r="F18" s="178"/>
    </row>
    <row r="19" spans="2:6" x14ac:dyDescent="0.25">
      <c r="B19" s="177"/>
      <c r="F19" s="179"/>
    </row>
    <row r="24" spans="2:6" ht="14.4" x14ac:dyDescent="0.3">
      <c r="B24" s="180"/>
      <c r="C24" s="181"/>
      <c r="F24" s="182"/>
    </row>
    <row r="25" spans="2:6" ht="14.4" x14ac:dyDescent="0.3">
      <c r="B25" s="180"/>
      <c r="C25" s="183"/>
      <c r="F25" s="182"/>
    </row>
  </sheetData>
  <mergeCells count="3">
    <mergeCell ref="B2:F2"/>
    <mergeCell ref="B3:F3"/>
    <mergeCell ref="B4:F4"/>
  </mergeCells>
  <printOptions horizontalCentered="1" verticalCentered="1"/>
  <pageMargins left="0.25" right="0.25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C00000"/>
    <pageSetUpPr fitToPage="1"/>
  </sheetPr>
  <dimension ref="B1:F25"/>
  <sheetViews>
    <sheetView view="pageBreakPreview" zoomScale="60" zoomScaleNormal="100" workbookViewId="0">
      <selection activeCell="J26" sqref="J26"/>
    </sheetView>
  </sheetViews>
  <sheetFormatPr defaultColWidth="9.109375" defaultRowHeight="13.8" x14ac:dyDescent="0.25"/>
  <cols>
    <col min="1" max="1" width="9.109375" style="1"/>
    <col min="2" max="2" width="9.21875" style="1" bestFit="1" customWidth="1"/>
    <col min="3" max="3" width="55.33203125" style="1" customWidth="1"/>
    <col min="4" max="4" width="12.6640625" style="1" bestFit="1" customWidth="1"/>
    <col min="5" max="5" width="9.33203125" style="1" bestFit="1" customWidth="1"/>
    <col min="6" max="6" width="10.77734375" style="1" customWidth="1"/>
    <col min="7" max="16384" width="9.109375" style="1"/>
  </cols>
  <sheetData>
    <row r="1" spans="2:6" ht="14.4" thickBot="1" x14ac:dyDescent="0.3"/>
    <row r="2" spans="2:6" ht="16.2" thickBot="1" x14ac:dyDescent="0.3">
      <c r="B2" s="1107" t="s">
        <v>383</v>
      </c>
      <c r="C2" s="1108"/>
      <c r="D2" s="1108"/>
      <c r="E2" s="1108"/>
      <c r="F2" s="1109"/>
    </row>
    <row r="3" spans="2:6" ht="14.4" thickBot="1" x14ac:dyDescent="0.3">
      <c r="B3" s="994" t="s">
        <v>382</v>
      </c>
      <c r="C3" s="995"/>
      <c r="D3" s="995"/>
      <c r="E3" s="995"/>
      <c r="F3" s="996"/>
    </row>
    <row r="4" spans="2:6" ht="14.4" thickBot="1" x14ac:dyDescent="0.3">
      <c r="B4" s="1148" t="s">
        <v>384</v>
      </c>
      <c r="C4" s="1149"/>
      <c r="D4" s="1149"/>
      <c r="E4" s="1149"/>
      <c r="F4" s="1150"/>
    </row>
    <row r="5" spans="2:6" x14ac:dyDescent="0.25">
      <c r="B5" s="1151" t="s">
        <v>0</v>
      </c>
      <c r="C5" s="1153" t="s">
        <v>61</v>
      </c>
      <c r="D5" s="503" t="s">
        <v>551</v>
      </c>
      <c r="E5" s="503" t="s">
        <v>517</v>
      </c>
      <c r="F5" s="504" t="s">
        <v>2</v>
      </c>
    </row>
    <row r="6" spans="2:6" x14ac:dyDescent="0.25">
      <c r="B6" s="1152"/>
      <c r="C6" s="1154"/>
      <c r="D6" s="320" t="s">
        <v>3</v>
      </c>
      <c r="E6" s="320" t="s">
        <v>3</v>
      </c>
      <c r="F6" s="505"/>
    </row>
    <row r="7" spans="2:6" ht="14.4" thickBot="1" x14ac:dyDescent="0.3">
      <c r="B7" s="506">
        <v>1</v>
      </c>
      <c r="C7" s="507">
        <v>2</v>
      </c>
      <c r="D7" s="507">
        <v>3</v>
      </c>
      <c r="E7" s="507">
        <v>4</v>
      </c>
      <c r="F7" s="508">
        <v>5</v>
      </c>
    </row>
    <row r="8" spans="2:6" ht="13.2" customHeight="1" x14ac:dyDescent="0.25">
      <c r="B8" s="509">
        <v>1</v>
      </c>
      <c r="C8" s="517" t="s">
        <v>520</v>
      </c>
      <c r="D8" s="510">
        <v>0</v>
      </c>
      <c r="E8" s="510">
        <v>0.14000000000000001</v>
      </c>
      <c r="F8" s="511"/>
    </row>
    <row r="9" spans="2:6" x14ac:dyDescent="0.25">
      <c r="B9" s="512">
        <v>2</v>
      </c>
      <c r="C9" s="513" t="s">
        <v>22</v>
      </c>
      <c r="D9" s="510">
        <v>0</v>
      </c>
      <c r="E9" s="510">
        <v>0.14000000000000001</v>
      </c>
      <c r="F9" s="514"/>
    </row>
    <row r="10" spans="2:6" x14ac:dyDescent="0.25">
      <c r="B10" s="515"/>
      <c r="C10" s="516" t="s">
        <v>105</v>
      </c>
      <c r="D10" s="513"/>
      <c r="E10" s="510"/>
      <c r="F10" s="514"/>
    </row>
    <row r="11" spans="2:6" x14ac:dyDescent="0.25">
      <c r="B11" s="512">
        <v>3</v>
      </c>
      <c r="C11" s="517"/>
      <c r="D11" s="510"/>
      <c r="E11" s="510"/>
      <c r="F11" s="514"/>
    </row>
    <row r="12" spans="2:6" x14ac:dyDescent="0.25">
      <c r="B12" s="519"/>
      <c r="C12" s="520" t="s">
        <v>243</v>
      </c>
      <c r="D12" s="521">
        <v>0</v>
      </c>
      <c r="E12" s="521">
        <v>0.14000000000000001</v>
      </c>
      <c r="F12" s="522"/>
    </row>
    <row r="13" spans="2:6" ht="14.4" thickBot="1" x14ac:dyDescent="0.3">
      <c r="B13" s="523"/>
      <c r="C13" s="524" t="s">
        <v>106</v>
      </c>
      <c r="D13" s="525">
        <v>0</v>
      </c>
      <c r="E13" s="525">
        <v>0</v>
      </c>
      <c r="F13" s="526"/>
    </row>
    <row r="18" spans="2:6" x14ac:dyDescent="0.25">
      <c r="B18" s="177"/>
      <c r="F18" s="178"/>
    </row>
    <row r="19" spans="2:6" x14ac:dyDescent="0.25">
      <c r="B19" s="177"/>
      <c r="F19" s="179"/>
    </row>
    <row r="24" spans="2:6" ht="14.4" x14ac:dyDescent="0.3">
      <c r="B24" s="180"/>
      <c r="C24" s="181"/>
      <c r="F24" s="182"/>
    </row>
    <row r="25" spans="2:6" ht="14.4" x14ac:dyDescent="0.3">
      <c r="B25" s="180"/>
      <c r="C25" s="183"/>
      <c r="F25" s="182"/>
    </row>
  </sheetData>
  <mergeCells count="5">
    <mergeCell ref="B2:F2"/>
    <mergeCell ref="B3:F3"/>
    <mergeCell ref="B4:F4"/>
    <mergeCell ref="B5:B6"/>
    <mergeCell ref="C5:C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C00000"/>
    <pageSetUpPr fitToPage="1"/>
  </sheetPr>
  <dimension ref="B1:H16"/>
  <sheetViews>
    <sheetView view="pageBreakPreview" zoomScale="60" zoomScaleNormal="100" workbookViewId="0">
      <selection activeCell="H24" sqref="H24"/>
    </sheetView>
  </sheetViews>
  <sheetFormatPr defaultColWidth="9.109375" defaultRowHeight="13.8" x14ac:dyDescent="0.25"/>
  <cols>
    <col min="1" max="2" width="9.109375" style="1"/>
    <col min="3" max="3" width="23.6640625" style="1" bestFit="1" customWidth="1"/>
    <col min="4" max="4" width="16.109375" style="1" bestFit="1" customWidth="1"/>
    <col min="5" max="7" width="17.33203125" style="1" customWidth="1"/>
    <col min="8" max="8" width="19.33203125" style="1" customWidth="1"/>
    <col min="9" max="16384" width="9.109375" style="1"/>
  </cols>
  <sheetData>
    <row r="1" spans="2:8" ht="14.4" thickBot="1" x14ac:dyDescent="0.3"/>
    <row r="2" spans="2:8" ht="16.2" thickBot="1" x14ac:dyDescent="0.35">
      <c r="B2" s="1155" t="s">
        <v>545</v>
      </c>
      <c r="C2" s="1156"/>
      <c r="D2" s="1156"/>
      <c r="E2" s="1156"/>
      <c r="F2" s="1156"/>
      <c r="G2" s="1156"/>
      <c r="H2" s="1157"/>
    </row>
    <row r="3" spans="2:8" ht="16.2" thickBot="1" x14ac:dyDescent="0.35">
      <c r="B3" s="985" t="s">
        <v>269</v>
      </c>
      <c r="C3" s="986"/>
      <c r="D3" s="986"/>
      <c r="E3" s="986"/>
      <c r="F3" s="986"/>
      <c r="G3" s="986"/>
      <c r="H3" s="987"/>
    </row>
    <row r="4" spans="2:8" ht="16.2" thickBot="1" x14ac:dyDescent="0.35">
      <c r="B4" s="985" t="s">
        <v>204</v>
      </c>
      <c r="C4" s="986"/>
      <c r="D4" s="986"/>
      <c r="E4" s="986"/>
      <c r="F4" s="986"/>
      <c r="G4" s="986"/>
      <c r="H4" s="987"/>
    </row>
    <row r="5" spans="2:8" ht="15.6" x14ac:dyDescent="0.25">
      <c r="B5" s="184" t="s">
        <v>385</v>
      </c>
      <c r="C5" s="185" t="s">
        <v>1</v>
      </c>
      <c r="D5" s="185" t="s">
        <v>467</v>
      </c>
      <c r="E5" s="186" t="s">
        <v>466</v>
      </c>
      <c r="F5" s="186" t="s">
        <v>140</v>
      </c>
      <c r="G5" s="185" t="s">
        <v>141</v>
      </c>
      <c r="H5" s="187" t="s">
        <v>141</v>
      </c>
    </row>
    <row r="6" spans="2:8" ht="15.6" x14ac:dyDescent="0.25">
      <c r="B6" s="188"/>
      <c r="C6" s="189"/>
      <c r="D6" s="190" t="s">
        <v>328</v>
      </c>
      <c r="E6" s="190" t="s">
        <v>328</v>
      </c>
      <c r="F6" s="190" t="s">
        <v>328</v>
      </c>
      <c r="G6" s="190" t="s">
        <v>328</v>
      </c>
      <c r="H6" s="771" t="s">
        <v>390</v>
      </c>
    </row>
    <row r="7" spans="2:8" ht="15.6" x14ac:dyDescent="0.25">
      <c r="B7" s="772">
        <v>1</v>
      </c>
      <c r="C7" s="774">
        <v>2</v>
      </c>
      <c r="D7" s="190">
        <v>3</v>
      </c>
      <c r="E7" s="190">
        <v>4</v>
      </c>
      <c r="F7" s="190">
        <v>5</v>
      </c>
      <c r="G7" s="190">
        <v>6</v>
      </c>
      <c r="H7" s="775">
        <v>7</v>
      </c>
    </row>
    <row r="8" spans="2:8" ht="15.6" x14ac:dyDescent="0.25">
      <c r="B8" s="191">
        <v>1</v>
      </c>
      <c r="C8" s="192" t="s">
        <v>386</v>
      </c>
      <c r="D8" s="786">
        <v>0.23735299999999998</v>
      </c>
      <c r="E8" s="33">
        <v>462.69299999999998</v>
      </c>
      <c r="F8" s="33">
        <v>440.79363883333326</v>
      </c>
      <c r="G8" s="33">
        <v>22.136714166666707</v>
      </c>
      <c r="H8" s="193">
        <v>4.7818670828582953E-2</v>
      </c>
    </row>
    <row r="9" spans="2:8" ht="15.6" x14ac:dyDescent="0.25">
      <c r="B9" s="191">
        <v>2</v>
      </c>
      <c r="C9" s="192" t="s">
        <v>387</v>
      </c>
      <c r="D9" s="786">
        <v>3.3258347399999999</v>
      </c>
      <c r="E9" s="33">
        <v>257.16449999999998</v>
      </c>
      <c r="F9" s="33">
        <v>253.36749221333332</v>
      </c>
      <c r="G9" s="33">
        <v>7.1228425266666591</v>
      </c>
      <c r="H9" s="193">
        <v>2.7343980089610982E-2</v>
      </c>
    </row>
    <row r="10" spans="2:8" ht="15.6" x14ac:dyDescent="0.25">
      <c r="B10" s="191">
        <v>3</v>
      </c>
      <c r="C10" s="192" t="s">
        <v>480</v>
      </c>
      <c r="D10" s="786">
        <v>0.2419782</v>
      </c>
      <c r="E10" s="33">
        <v>46.354999999999997</v>
      </c>
      <c r="F10" s="33">
        <v>44.752889699999997</v>
      </c>
      <c r="G10" s="33">
        <v>1.844088499999998</v>
      </c>
      <c r="H10" s="193">
        <v>3.9575280870895575E-2</v>
      </c>
    </row>
    <row r="11" spans="2:8" ht="15.6" x14ac:dyDescent="0.25">
      <c r="B11" s="191">
        <v>4</v>
      </c>
      <c r="C11" s="192" t="s">
        <v>388</v>
      </c>
      <c r="D11" s="574">
        <v>0</v>
      </c>
      <c r="E11" s="33">
        <v>5.5407900000000003</v>
      </c>
      <c r="F11" s="33">
        <v>5.1353454340000004</v>
      </c>
      <c r="G11" s="33">
        <v>0.4054445659999999</v>
      </c>
      <c r="H11" s="193">
        <v>7.3174505079600535E-2</v>
      </c>
    </row>
    <row r="12" spans="2:8" ht="15.6" x14ac:dyDescent="0.3">
      <c r="B12" s="194">
        <v>5</v>
      </c>
      <c r="C12" s="195" t="s">
        <v>142</v>
      </c>
      <c r="D12" s="196">
        <v>3.8051659400000002</v>
      </c>
      <c r="E12" s="196">
        <v>771.75328999999999</v>
      </c>
      <c r="F12" s="196">
        <v>744.04936618066654</v>
      </c>
      <c r="G12" s="196">
        <v>31.509089759333506</v>
      </c>
      <c r="H12" s="780">
        <v>4.0627614228180321E-2</v>
      </c>
    </row>
    <row r="13" spans="2:8" ht="15.6" x14ac:dyDescent="0.3">
      <c r="B13" s="576">
        <v>6</v>
      </c>
      <c r="C13" s="575" t="s">
        <v>389</v>
      </c>
      <c r="D13" s="575"/>
      <c r="E13" s="198"/>
      <c r="F13" s="198"/>
      <c r="G13" s="198"/>
      <c r="H13" s="779"/>
    </row>
    <row r="14" spans="2:8" ht="16.2" thickBot="1" x14ac:dyDescent="0.35">
      <c r="B14" s="199">
        <v>7</v>
      </c>
      <c r="C14" s="200" t="s">
        <v>456</v>
      </c>
      <c r="D14" s="201">
        <v>3.397231385</v>
      </c>
      <c r="E14" s="201">
        <v>669.66570000000013</v>
      </c>
      <c r="F14" s="201">
        <v>643.33653522778275</v>
      </c>
      <c r="G14" s="202">
        <v>29.726396157217437</v>
      </c>
      <c r="H14" s="203">
        <v>4.4165849538092564E-2</v>
      </c>
    </row>
    <row r="16" spans="2:8" x14ac:dyDescent="0.25">
      <c r="C16" s="570"/>
      <c r="D16" s="570"/>
      <c r="E16" s="570"/>
      <c r="F16" s="570"/>
    </row>
  </sheetData>
  <mergeCells count="3">
    <mergeCell ref="B2:H2"/>
    <mergeCell ref="B3:H3"/>
    <mergeCell ref="B4:H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C00000"/>
  </sheetPr>
  <dimension ref="B1:G31"/>
  <sheetViews>
    <sheetView view="pageBreakPreview" zoomScale="60" zoomScaleNormal="100" workbookViewId="0">
      <selection activeCell="M22" sqref="M22"/>
    </sheetView>
  </sheetViews>
  <sheetFormatPr defaultColWidth="9.109375" defaultRowHeight="13.8" x14ac:dyDescent="0.25"/>
  <cols>
    <col min="1" max="2" width="9.109375" style="1"/>
    <col min="3" max="3" width="47.77734375" style="1" bestFit="1" customWidth="1"/>
    <col min="4" max="4" width="9.109375" style="1"/>
    <col min="5" max="5" width="10.33203125" style="1" bestFit="1" customWidth="1"/>
    <col min="6" max="6" width="9.109375" style="1"/>
    <col min="7" max="7" width="10.109375" style="1" customWidth="1"/>
    <col min="8" max="16384" width="9.109375" style="1"/>
  </cols>
  <sheetData>
    <row r="1" spans="2:7" ht="14.4" thickBot="1" x14ac:dyDescent="0.3"/>
    <row r="2" spans="2:7" ht="16.2" thickBot="1" x14ac:dyDescent="0.35">
      <c r="B2" s="1155" t="s">
        <v>391</v>
      </c>
      <c r="C2" s="1156"/>
      <c r="D2" s="1156"/>
      <c r="E2" s="1156"/>
      <c r="F2" s="1156"/>
      <c r="G2" s="1157"/>
    </row>
    <row r="3" spans="2:7" ht="16.2" thickBot="1" x14ac:dyDescent="0.35">
      <c r="B3" s="985" t="s">
        <v>382</v>
      </c>
      <c r="C3" s="986"/>
      <c r="D3" s="986"/>
      <c r="E3" s="986"/>
      <c r="F3" s="986"/>
      <c r="G3" s="987"/>
    </row>
    <row r="4" spans="2:7" ht="16.2" thickBot="1" x14ac:dyDescent="0.35">
      <c r="B4" s="985" t="s">
        <v>392</v>
      </c>
      <c r="C4" s="986"/>
      <c r="D4" s="986"/>
      <c r="E4" s="986"/>
      <c r="F4" s="986"/>
      <c r="G4" s="987"/>
    </row>
    <row r="5" spans="2:7" ht="15.6" x14ac:dyDescent="0.25">
      <c r="B5" s="527" t="s">
        <v>0</v>
      </c>
      <c r="C5" s="528" t="s">
        <v>1</v>
      </c>
      <c r="D5" s="528" t="s">
        <v>107</v>
      </c>
      <c r="E5" s="528" t="s">
        <v>551</v>
      </c>
      <c r="F5" s="528" t="s">
        <v>517</v>
      </c>
      <c r="G5" s="529" t="s">
        <v>2</v>
      </c>
    </row>
    <row r="6" spans="2:7" ht="16.2" thickBot="1" x14ac:dyDescent="0.3">
      <c r="B6" s="530">
        <v>1</v>
      </c>
      <c r="C6" s="531">
        <v>2</v>
      </c>
      <c r="D6" s="531">
        <v>3</v>
      </c>
      <c r="E6" s="531">
        <v>4</v>
      </c>
      <c r="F6" s="531">
        <v>5</v>
      </c>
      <c r="G6" s="532">
        <v>6</v>
      </c>
    </row>
    <row r="7" spans="2:7" ht="15.6" x14ac:dyDescent="0.3">
      <c r="B7" s="242">
        <v>1</v>
      </c>
      <c r="C7" s="533" t="s">
        <v>108</v>
      </c>
      <c r="D7" s="533"/>
      <c r="E7" s="534">
        <v>4.0627614228180321E-2</v>
      </c>
      <c r="F7" s="534">
        <v>4.4165849538092564E-2</v>
      </c>
      <c r="G7" s="535"/>
    </row>
    <row r="8" spans="2:7" ht="15.6" x14ac:dyDescent="0.3">
      <c r="B8" s="191">
        <v>2</v>
      </c>
      <c r="C8" s="536" t="s">
        <v>109</v>
      </c>
      <c r="D8" s="197"/>
      <c r="E8" s="247">
        <v>95.458906880720392</v>
      </c>
      <c r="F8" s="247">
        <v>94.352497264595272</v>
      </c>
      <c r="G8" s="537"/>
    </row>
    <row r="9" spans="2:7" ht="15.6" x14ac:dyDescent="0.3">
      <c r="B9" s="191" t="s">
        <v>113</v>
      </c>
      <c r="C9" s="197" t="s">
        <v>114</v>
      </c>
      <c r="D9" s="197"/>
      <c r="E9" s="197">
        <v>100</v>
      </c>
      <c r="F9" s="197">
        <v>100</v>
      </c>
      <c r="G9" s="537"/>
    </row>
    <row r="10" spans="2:7" ht="15.6" x14ac:dyDescent="0.3">
      <c r="B10" s="191" t="s">
        <v>115</v>
      </c>
      <c r="C10" s="536" t="s">
        <v>116</v>
      </c>
      <c r="D10" s="197"/>
      <c r="E10" s="267">
        <v>66.838762367346604</v>
      </c>
      <c r="F10" s="267">
        <v>57.501141668048248</v>
      </c>
      <c r="G10" s="537"/>
    </row>
    <row r="11" spans="2:7" ht="15.6" x14ac:dyDescent="0.3">
      <c r="B11" s="191">
        <v>5</v>
      </c>
      <c r="C11" s="197" t="s">
        <v>117</v>
      </c>
      <c r="D11" s="197"/>
      <c r="E11" s="197">
        <v>0</v>
      </c>
      <c r="F11" s="197">
        <v>0</v>
      </c>
      <c r="G11" s="537"/>
    </row>
    <row r="12" spans="2:7" ht="15.6" x14ac:dyDescent="0.3">
      <c r="B12" s="191" t="s">
        <v>118</v>
      </c>
      <c r="C12" s="197" t="s">
        <v>119</v>
      </c>
      <c r="D12" s="197"/>
      <c r="E12" s="197">
        <v>0</v>
      </c>
      <c r="F12" s="197">
        <v>0</v>
      </c>
      <c r="G12" s="537"/>
    </row>
    <row r="13" spans="2:7" ht="15.6" x14ac:dyDescent="0.3">
      <c r="B13" s="191" t="s">
        <v>120</v>
      </c>
      <c r="C13" s="197" t="s">
        <v>121</v>
      </c>
      <c r="D13" s="197"/>
      <c r="E13" s="538" t="s">
        <v>212</v>
      </c>
      <c r="F13" s="538" t="s">
        <v>212</v>
      </c>
      <c r="G13" s="537"/>
    </row>
    <row r="14" spans="2:7" ht="15.6" x14ac:dyDescent="0.3">
      <c r="B14" s="539">
        <v>7</v>
      </c>
      <c r="C14" s="195" t="s">
        <v>122</v>
      </c>
      <c r="D14" s="272"/>
      <c r="E14" s="272"/>
      <c r="F14" s="272"/>
      <c r="G14" s="540"/>
    </row>
    <row r="15" spans="2:7" ht="15.6" x14ac:dyDescent="0.3">
      <c r="B15" s="541" t="s">
        <v>123</v>
      </c>
      <c r="C15" s="542" t="s">
        <v>124</v>
      </c>
      <c r="D15" s="197"/>
      <c r="E15" s="197"/>
      <c r="F15" s="197"/>
      <c r="G15" s="537"/>
    </row>
    <row r="16" spans="2:7" ht="15.6" x14ac:dyDescent="0.3">
      <c r="B16" s="543" t="s">
        <v>110</v>
      </c>
      <c r="C16" s="544" t="s">
        <v>125</v>
      </c>
      <c r="D16" s="544"/>
      <c r="E16" s="425">
        <v>21.4</v>
      </c>
      <c r="F16" s="425">
        <v>21.4</v>
      </c>
      <c r="G16" s="537"/>
    </row>
    <row r="17" spans="2:7" ht="15.6" x14ac:dyDescent="0.3">
      <c r="B17" s="543" t="s">
        <v>111</v>
      </c>
      <c r="C17" s="544" t="s">
        <v>126</v>
      </c>
      <c r="D17" s="544"/>
      <c r="E17" s="425">
        <v>7.03</v>
      </c>
      <c r="F17" s="425">
        <v>6.6470000000000002</v>
      </c>
      <c r="G17" s="537"/>
    </row>
    <row r="18" spans="2:7" ht="15.6" x14ac:dyDescent="0.3">
      <c r="B18" s="543" t="s">
        <v>112</v>
      </c>
      <c r="C18" s="544" t="s">
        <v>127</v>
      </c>
      <c r="D18" s="544"/>
      <c r="E18" s="425">
        <v>3.0440967283072542</v>
      </c>
      <c r="F18" s="425">
        <v>3.2194975176771474</v>
      </c>
      <c r="G18" s="537"/>
    </row>
    <row r="19" spans="2:7" ht="15.6" x14ac:dyDescent="0.3">
      <c r="B19" s="541" t="s">
        <v>128</v>
      </c>
      <c r="C19" s="542" t="s">
        <v>129</v>
      </c>
      <c r="D19" s="544"/>
      <c r="E19" s="425"/>
      <c r="F19" s="425"/>
      <c r="G19" s="537"/>
    </row>
    <row r="20" spans="2:7" ht="15.6" x14ac:dyDescent="0.3">
      <c r="B20" s="543" t="s">
        <v>130</v>
      </c>
      <c r="C20" s="544" t="s">
        <v>220</v>
      </c>
      <c r="D20" s="544"/>
      <c r="E20" s="425">
        <v>21.4</v>
      </c>
      <c r="F20" s="425">
        <v>21.4</v>
      </c>
      <c r="G20" s="537"/>
    </row>
    <row r="21" spans="2:7" ht="15.6" x14ac:dyDescent="0.3">
      <c r="B21" s="543" t="s">
        <v>131</v>
      </c>
      <c r="C21" s="544" t="s">
        <v>132</v>
      </c>
      <c r="D21" s="544"/>
      <c r="E21" s="425">
        <v>20.399999999999999</v>
      </c>
      <c r="F21" s="425">
        <v>17.5</v>
      </c>
      <c r="G21" s="537"/>
    </row>
    <row r="22" spans="2:7" ht="15.6" x14ac:dyDescent="0.3">
      <c r="B22" s="543" t="s">
        <v>133</v>
      </c>
      <c r="C22" s="544" t="s">
        <v>206</v>
      </c>
      <c r="D22" s="544"/>
      <c r="E22" s="425">
        <v>1.0490196078431373</v>
      </c>
      <c r="F22" s="425">
        <v>1.2228571428571429</v>
      </c>
      <c r="G22" s="537"/>
    </row>
    <row r="23" spans="2:7" ht="15.6" x14ac:dyDescent="0.3">
      <c r="B23" s="271"/>
      <c r="C23" s="195" t="s">
        <v>134</v>
      </c>
      <c r="D23" s="272"/>
      <c r="E23" s="273">
        <v>2.5453274481912249</v>
      </c>
      <c r="F23" s="273">
        <v>2.7203374239721461</v>
      </c>
      <c r="G23" s="540"/>
    </row>
    <row r="24" spans="2:7" ht="15.6" x14ac:dyDescent="0.3">
      <c r="B24" s="543">
        <v>8</v>
      </c>
      <c r="C24" s="544" t="s">
        <v>135</v>
      </c>
      <c r="D24" s="544"/>
      <c r="E24" s="425"/>
      <c r="F24" s="425">
        <v>0</v>
      </c>
      <c r="G24" s="537"/>
    </row>
    <row r="25" spans="2:7" ht="15.6" x14ac:dyDescent="0.3">
      <c r="B25" s="545" t="s">
        <v>136</v>
      </c>
      <c r="C25" s="546" t="s">
        <v>137</v>
      </c>
      <c r="D25" s="544"/>
      <c r="E25" s="425"/>
      <c r="F25" s="425">
        <v>0</v>
      </c>
      <c r="G25" s="537"/>
    </row>
    <row r="26" spans="2:7" ht="16.2" thickBot="1" x14ac:dyDescent="0.35">
      <c r="B26" s="547" t="s">
        <v>138</v>
      </c>
      <c r="C26" s="548" t="s">
        <v>139</v>
      </c>
      <c r="D26" s="549"/>
      <c r="E26" s="550">
        <v>0</v>
      </c>
      <c r="F26" s="550">
        <v>0</v>
      </c>
      <c r="G26" s="551"/>
    </row>
    <row r="31" spans="2:7" x14ac:dyDescent="0.25">
      <c r="B31" s="177"/>
      <c r="G31" s="178"/>
    </row>
  </sheetData>
  <mergeCells count="3">
    <mergeCell ref="B2:G2"/>
    <mergeCell ref="B3:G3"/>
    <mergeCell ref="B4:G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C00000"/>
    <pageSetUpPr fitToPage="1"/>
  </sheetPr>
  <dimension ref="B1:Q45"/>
  <sheetViews>
    <sheetView view="pageBreakPreview" zoomScale="60" zoomScaleNormal="85" workbookViewId="0">
      <selection activeCell="Q14" sqref="Q14:T35"/>
    </sheetView>
  </sheetViews>
  <sheetFormatPr defaultColWidth="9.109375" defaultRowHeight="13.8" x14ac:dyDescent="0.25"/>
  <cols>
    <col min="1" max="1" width="9.109375" style="1"/>
    <col min="2" max="2" width="9.21875" style="1" bestFit="1" customWidth="1"/>
    <col min="3" max="3" width="40.109375" style="1" bestFit="1" customWidth="1"/>
    <col min="4" max="4" width="10.77734375" style="1" bestFit="1" customWidth="1"/>
    <col min="5" max="15" width="10.21875" style="1" bestFit="1" customWidth="1"/>
    <col min="16" max="16" width="11.6640625" style="1" bestFit="1" customWidth="1"/>
    <col min="17" max="17" width="10.109375" style="1" bestFit="1" customWidth="1"/>
    <col min="18" max="16384" width="9.109375" style="1"/>
  </cols>
  <sheetData>
    <row r="1" spans="2:17" ht="14.4" thickBot="1" x14ac:dyDescent="0.3"/>
    <row r="2" spans="2:17" ht="16.2" thickBot="1" x14ac:dyDescent="0.3">
      <c r="B2" s="1158" t="s">
        <v>546</v>
      </c>
      <c r="C2" s="1159"/>
      <c r="D2" s="1159"/>
      <c r="E2" s="1159"/>
      <c r="F2" s="1159"/>
      <c r="G2" s="1159"/>
      <c r="H2" s="1159"/>
      <c r="I2" s="1159"/>
      <c r="J2" s="1159"/>
      <c r="K2" s="1159"/>
      <c r="L2" s="1159"/>
      <c r="M2" s="1159"/>
      <c r="N2" s="1159"/>
      <c r="O2" s="1159"/>
      <c r="P2" s="1160"/>
    </row>
    <row r="3" spans="2:17" ht="16.5" customHeight="1" thickBot="1" x14ac:dyDescent="0.35">
      <c r="B3" s="985" t="s">
        <v>382</v>
      </c>
      <c r="C3" s="986"/>
      <c r="D3" s="986"/>
      <c r="E3" s="986"/>
      <c r="F3" s="986"/>
      <c r="G3" s="986"/>
      <c r="H3" s="986"/>
      <c r="I3" s="986"/>
      <c r="J3" s="986"/>
      <c r="K3" s="986"/>
      <c r="L3" s="986"/>
      <c r="M3" s="986"/>
      <c r="N3" s="986"/>
      <c r="O3" s="986"/>
      <c r="P3" s="987"/>
    </row>
    <row r="4" spans="2:17" ht="15.6" x14ac:dyDescent="0.3">
      <c r="B4" s="1161" t="s">
        <v>396</v>
      </c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  <c r="N4" s="1162"/>
      <c r="O4" s="149"/>
      <c r="P4" s="150" t="s">
        <v>207</v>
      </c>
    </row>
    <row r="5" spans="2:17" ht="15.6" x14ac:dyDescent="0.25">
      <c r="B5" s="151" t="s">
        <v>26</v>
      </c>
      <c r="C5" s="152" t="s">
        <v>143</v>
      </c>
      <c r="D5" s="152" t="s">
        <v>144</v>
      </c>
      <c r="E5" s="152" t="s">
        <v>145</v>
      </c>
      <c r="F5" s="152" t="s">
        <v>146</v>
      </c>
      <c r="G5" s="153" t="s">
        <v>147</v>
      </c>
      <c r="H5" s="153" t="s">
        <v>148</v>
      </c>
      <c r="I5" s="153" t="s">
        <v>149</v>
      </c>
      <c r="J5" s="153" t="s">
        <v>150</v>
      </c>
      <c r="K5" s="153" t="s">
        <v>151</v>
      </c>
      <c r="L5" s="153" t="s">
        <v>152</v>
      </c>
      <c r="M5" s="153" t="s">
        <v>153</v>
      </c>
      <c r="N5" s="153" t="s">
        <v>154</v>
      </c>
      <c r="O5" s="153" t="s">
        <v>155</v>
      </c>
      <c r="P5" s="154" t="s">
        <v>22</v>
      </c>
    </row>
    <row r="6" spans="2:17" ht="15.6" x14ac:dyDescent="0.25">
      <c r="B6" s="155">
        <v>1</v>
      </c>
      <c r="C6" s="156">
        <v>2</v>
      </c>
      <c r="D6" s="156">
        <v>3</v>
      </c>
      <c r="E6" s="156">
        <v>4</v>
      </c>
      <c r="F6" s="156">
        <v>5</v>
      </c>
      <c r="G6" s="156">
        <v>6</v>
      </c>
      <c r="H6" s="156">
        <v>7</v>
      </c>
      <c r="I6" s="156">
        <v>8</v>
      </c>
      <c r="J6" s="156">
        <v>9</v>
      </c>
      <c r="K6" s="156">
        <v>10</v>
      </c>
      <c r="L6" s="156">
        <v>11</v>
      </c>
      <c r="M6" s="156">
        <v>12</v>
      </c>
      <c r="N6" s="156">
        <v>13</v>
      </c>
      <c r="O6" s="156">
        <v>14</v>
      </c>
      <c r="P6" s="157">
        <v>15</v>
      </c>
    </row>
    <row r="7" spans="2:17" ht="15.6" x14ac:dyDescent="0.3">
      <c r="B7" s="158">
        <v>1</v>
      </c>
      <c r="C7" s="159" t="s">
        <v>226</v>
      </c>
      <c r="D7" s="160">
        <v>10654.339999999997</v>
      </c>
      <c r="E7" s="160">
        <v>12544.839999999993</v>
      </c>
      <c r="F7" s="160">
        <v>11066.870000000003</v>
      </c>
      <c r="G7" s="160">
        <v>10405.870000000023</v>
      </c>
      <c r="H7" s="160">
        <v>10104.949999999984</v>
      </c>
      <c r="I7" s="160">
        <v>9403.4900000000016</v>
      </c>
      <c r="J7" s="160">
        <v>10630.51</v>
      </c>
      <c r="K7" s="160">
        <v>10626.340000000006</v>
      </c>
      <c r="L7" s="160">
        <v>10133.759999999995</v>
      </c>
      <c r="M7" s="160">
        <v>10947.540000000003</v>
      </c>
      <c r="N7" s="160">
        <v>10660.209999999995</v>
      </c>
      <c r="O7" s="160">
        <v>11008.269999999995</v>
      </c>
      <c r="P7" s="161">
        <v>128186.98999999999</v>
      </c>
    </row>
    <row r="8" spans="2:17" ht="15.6" x14ac:dyDescent="0.3">
      <c r="B8" s="158">
        <v>2</v>
      </c>
      <c r="C8" s="159" t="s">
        <v>227</v>
      </c>
      <c r="D8" s="160">
        <v>60705.29</v>
      </c>
      <c r="E8" s="160">
        <v>71488.670000000042</v>
      </c>
      <c r="F8" s="160">
        <v>60245.870000000083</v>
      </c>
      <c r="G8" s="160">
        <v>59409.87999999999</v>
      </c>
      <c r="H8" s="160">
        <v>57345.119999999988</v>
      </c>
      <c r="I8" s="160">
        <v>54465.109999999957</v>
      </c>
      <c r="J8" s="160">
        <v>50755.66</v>
      </c>
      <c r="K8" s="160">
        <v>52530.839999999975</v>
      </c>
      <c r="L8" s="160">
        <v>49237.419999999991</v>
      </c>
      <c r="M8" s="160">
        <v>52855.720000000074</v>
      </c>
      <c r="N8" s="160">
        <v>52592.849999999962</v>
      </c>
      <c r="O8" s="160">
        <v>55352.279999999977</v>
      </c>
      <c r="P8" s="161">
        <v>676984.71000000008</v>
      </c>
    </row>
    <row r="9" spans="2:17" ht="15.6" x14ac:dyDescent="0.3">
      <c r="B9" s="158">
        <v>3</v>
      </c>
      <c r="C9" s="159" t="s">
        <v>228</v>
      </c>
      <c r="D9" s="160">
        <v>1663452.4599999993</v>
      </c>
      <c r="E9" s="160">
        <v>1854607.4400000016</v>
      </c>
      <c r="F9" s="160">
        <v>1586569.0699999994</v>
      </c>
      <c r="G9" s="160">
        <v>1548741.9599999986</v>
      </c>
      <c r="H9" s="160">
        <v>1567322.230000003</v>
      </c>
      <c r="I9" s="160">
        <v>1446383.9799999974</v>
      </c>
      <c r="J9" s="160">
        <v>1501943.420000002</v>
      </c>
      <c r="K9" s="160">
        <v>1518396.02</v>
      </c>
      <c r="L9" s="160">
        <v>1477739.6199999982</v>
      </c>
      <c r="M9" s="160">
        <v>1546159.6099999994</v>
      </c>
      <c r="N9" s="160">
        <v>1539167.9566666672</v>
      </c>
      <c r="O9" s="160">
        <v>1610542.1266666674</v>
      </c>
      <c r="P9" s="161">
        <v>18861025.893333334</v>
      </c>
    </row>
    <row r="10" spans="2:17" ht="15.6" x14ac:dyDescent="0.3">
      <c r="B10" s="158">
        <v>4</v>
      </c>
      <c r="C10" s="159" t="s">
        <v>229</v>
      </c>
      <c r="D10" s="160">
        <v>2885.6999999999953</v>
      </c>
      <c r="E10" s="160">
        <v>3212.1000000000022</v>
      </c>
      <c r="F10" s="160">
        <v>3088.3000000000029</v>
      </c>
      <c r="G10" s="160">
        <v>3011.5000000000018</v>
      </c>
      <c r="H10" s="160">
        <v>2857.3999999999996</v>
      </c>
      <c r="I10" s="160">
        <v>2598.7000000000007</v>
      </c>
      <c r="J10" s="160">
        <v>2313.3999999999942</v>
      </c>
      <c r="K10" s="160">
        <v>2390.2000000000044</v>
      </c>
      <c r="L10" s="160">
        <v>2270.8000000000065</v>
      </c>
      <c r="M10" s="160">
        <v>3359.299999999992</v>
      </c>
      <c r="N10" s="160">
        <v>3787.600000000004</v>
      </c>
      <c r="O10" s="160">
        <v>3834.1999999999989</v>
      </c>
      <c r="P10" s="161">
        <v>35609.200000000004</v>
      </c>
    </row>
    <row r="11" spans="2:17" ht="15.6" x14ac:dyDescent="0.3">
      <c r="B11" s="158">
        <v>5</v>
      </c>
      <c r="C11" s="159" t="s">
        <v>230</v>
      </c>
      <c r="D11" s="160">
        <v>6640.9000000000015</v>
      </c>
      <c r="E11" s="160">
        <v>7845.0999999999985</v>
      </c>
      <c r="F11" s="160">
        <v>7019.3000000000175</v>
      </c>
      <c r="G11" s="160">
        <v>6546.2999999999884</v>
      </c>
      <c r="H11" s="160">
        <v>7489.8000000000029</v>
      </c>
      <c r="I11" s="160">
        <v>6640.9999999999854</v>
      </c>
      <c r="J11" s="160">
        <v>7077.6000000000204</v>
      </c>
      <c r="K11" s="160">
        <v>6429.7999999999811</v>
      </c>
      <c r="L11" s="160">
        <v>5095.6000000000131</v>
      </c>
      <c r="M11" s="160">
        <v>4518.4000000000087</v>
      </c>
      <c r="N11" s="160">
        <v>3391</v>
      </c>
      <c r="O11" s="160">
        <v>2549.5999999999767</v>
      </c>
      <c r="P11" s="161">
        <v>71244.399999999994</v>
      </c>
    </row>
    <row r="12" spans="2:17" ht="15.6" x14ac:dyDescent="0.3">
      <c r="B12" s="158">
        <v>6</v>
      </c>
      <c r="C12" s="159" t="s">
        <v>231</v>
      </c>
      <c r="D12" s="160">
        <v>21336.53999999999</v>
      </c>
      <c r="E12" s="160">
        <v>23195.49000000002</v>
      </c>
      <c r="F12" s="160">
        <v>19233.430000000004</v>
      </c>
      <c r="G12" s="160">
        <v>18347.730000000007</v>
      </c>
      <c r="H12" s="160">
        <v>20042.069999999971</v>
      </c>
      <c r="I12" s="160">
        <v>18306.660000000003</v>
      </c>
      <c r="J12" s="160">
        <v>16880.210000000036</v>
      </c>
      <c r="K12" s="160">
        <v>17450.669999999973</v>
      </c>
      <c r="L12" s="160">
        <v>18454.74000000002</v>
      </c>
      <c r="M12" s="160">
        <v>19398.719999999998</v>
      </c>
      <c r="N12" s="160">
        <v>19317.259999999991</v>
      </c>
      <c r="O12" s="160">
        <v>20808.520000000004</v>
      </c>
      <c r="P12" s="162">
        <v>232772.04000000004</v>
      </c>
    </row>
    <row r="13" spans="2:17" ht="15.6" x14ac:dyDescent="0.3">
      <c r="B13" s="158">
        <v>7</v>
      </c>
      <c r="C13" s="159" t="s">
        <v>232</v>
      </c>
      <c r="D13" s="160">
        <v>2674.0999999999985</v>
      </c>
      <c r="E13" s="160">
        <v>2692.3000000000038</v>
      </c>
      <c r="F13" s="160">
        <v>2694.8999999999978</v>
      </c>
      <c r="G13" s="160">
        <v>2713.7999999999956</v>
      </c>
      <c r="H13" s="160">
        <v>2713.600000000004</v>
      </c>
      <c r="I13" s="160">
        <v>2534.3000000000002</v>
      </c>
      <c r="J13" s="160">
        <v>2614.0699999999993</v>
      </c>
      <c r="K13" s="160">
        <v>2629.3699999999994</v>
      </c>
      <c r="L13" s="160">
        <v>2743.6700000000014</v>
      </c>
      <c r="M13" s="160">
        <v>2761.5699999999956</v>
      </c>
      <c r="N13" s="160">
        <v>3131.2700000000045</v>
      </c>
      <c r="O13" s="160">
        <v>2740.5699999999956</v>
      </c>
      <c r="P13" s="162">
        <v>32643.519999999997</v>
      </c>
      <c r="Q13" s="103"/>
    </row>
    <row r="14" spans="2:17" ht="15.6" x14ac:dyDescent="0.3">
      <c r="B14" s="158">
        <v>8</v>
      </c>
      <c r="C14" s="159" t="s">
        <v>233</v>
      </c>
      <c r="D14" s="160">
        <v>4216.2000000000025</v>
      </c>
      <c r="E14" s="160">
        <v>4720.2999999999993</v>
      </c>
      <c r="F14" s="160">
        <v>4161.3999999999996</v>
      </c>
      <c r="G14" s="160">
        <v>4110.0000000000018</v>
      </c>
      <c r="H14" s="160">
        <v>4117.24</v>
      </c>
      <c r="I14" s="160">
        <v>4769.7000000000007</v>
      </c>
      <c r="J14" s="160">
        <v>4161.7999999999993</v>
      </c>
      <c r="K14" s="160">
        <v>4424.7999999999993</v>
      </c>
      <c r="L14" s="160">
        <v>4078.8000000000011</v>
      </c>
      <c r="M14" s="160">
        <v>4364.7999999999993</v>
      </c>
      <c r="N14" s="160">
        <v>4580.1999999999989</v>
      </c>
      <c r="O14" s="160">
        <v>4913.3200000000006</v>
      </c>
      <c r="P14" s="161">
        <v>52618.560000000005</v>
      </c>
    </row>
    <row r="15" spans="2:17" ht="15.6" x14ac:dyDescent="0.3">
      <c r="B15" s="158">
        <v>9</v>
      </c>
      <c r="C15" s="159" t="s">
        <v>234</v>
      </c>
      <c r="D15" s="160">
        <v>220241.66999999975</v>
      </c>
      <c r="E15" s="160">
        <v>244878.2</v>
      </c>
      <c r="F15" s="160">
        <v>254553.6599999998</v>
      </c>
      <c r="G15" s="160">
        <v>269992.28999999946</v>
      </c>
      <c r="H15" s="160">
        <v>302987.27000000048</v>
      </c>
      <c r="I15" s="160">
        <v>307201.13</v>
      </c>
      <c r="J15" s="160">
        <v>305190.62000000011</v>
      </c>
      <c r="K15" s="160">
        <v>317945.21999999956</v>
      </c>
      <c r="L15" s="160">
        <v>308454.48999999993</v>
      </c>
      <c r="M15" s="160">
        <v>328622.37000000034</v>
      </c>
      <c r="N15" s="160">
        <v>326509.80000000016</v>
      </c>
      <c r="O15" s="160">
        <v>342957.53000000026</v>
      </c>
      <c r="P15" s="161">
        <v>3529534.2499999995</v>
      </c>
    </row>
    <row r="16" spans="2:17" ht="15.6" x14ac:dyDescent="0.3">
      <c r="B16" s="158">
        <v>10</v>
      </c>
      <c r="C16" s="159" t="s">
        <v>235</v>
      </c>
      <c r="D16" s="160">
        <v>25827.640000000003</v>
      </c>
      <c r="E16" s="160">
        <v>31883.620000000017</v>
      </c>
      <c r="F16" s="160">
        <v>26613.11</v>
      </c>
      <c r="G16" s="160">
        <v>27102.840000000004</v>
      </c>
      <c r="H16" s="160">
        <v>25789.409999999996</v>
      </c>
      <c r="I16" s="160">
        <v>27216.939999999995</v>
      </c>
      <c r="J16" s="160">
        <v>23577.089999999982</v>
      </c>
      <c r="K16" s="160">
        <v>26922.920000000002</v>
      </c>
      <c r="L16" s="160">
        <v>26721.469999999987</v>
      </c>
      <c r="M16" s="160">
        <v>28078.29000000003</v>
      </c>
      <c r="N16" s="160">
        <v>28916.349999999955</v>
      </c>
      <c r="O16" s="160">
        <v>27661.450000000015</v>
      </c>
      <c r="P16" s="161">
        <v>326311.13000000006</v>
      </c>
    </row>
    <row r="17" spans="2:17" ht="15.6" x14ac:dyDescent="0.3">
      <c r="B17" s="158">
        <v>11</v>
      </c>
      <c r="C17" s="159" t="s">
        <v>236</v>
      </c>
      <c r="D17" s="160">
        <v>288</v>
      </c>
      <c r="E17" s="160">
        <v>337</v>
      </c>
      <c r="F17" s="160">
        <v>337</v>
      </c>
      <c r="G17" s="160">
        <v>313</v>
      </c>
      <c r="H17" s="160">
        <v>299</v>
      </c>
      <c r="I17" s="160">
        <v>300</v>
      </c>
      <c r="J17" s="160">
        <v>283</v>
      </c>
      <c r="K17" s="160">
        <v>297</v>
      </c>
      <c r="L17" s="160">
        <v>310</v>
      </c>
      <c r="M17" s="160">
        <v>348</v>
      </c>
      <c r="N17" s="160">
        <v>313</v>
      </c>
      <c r="O17" s="160">
        <v>260</v>
      </c>
      <c r="P17" s="161">
        <v>3685</v>
      </c>
    </row>
    <row r="18" spans="2:17" ht="15.6" x14ac:dyDescent="0.3">
      <c r="B18" s="158">
        <v>12</v>
      </c>
      <c r="C18" s="159" t="s">
        <v>237</v>
      </c>
      <c r="D18" s="160">
        <v>219</v>
      </c>
      <c r="E18" s="160">
        <v>200</v>
      </c>
      <c r="F18" s="160">
        <v>149</v>
      </c>
      <c r="G18" s="160">
        <v>4</v>
      </c>
      <c r="H18" s="160">
        <v>42</v>
      </c>
      <c r="I18" s="160">
        <v>0</v>
      </c>
      <c r="J18" s="160">
        <v>9</v>
      </c>
      <c r="K18" s="160">
        <v>0</v>
      </c>
      <c r="L18" s="160">
        <v>0</v>
      </c>
      <c r="M18" s="160">
        <v>0</v>
      </c>
      <c r="N18" s="160">
        <v>0</v>
      </c>
      <c r="O18" s="160">
        <v>0</v>
      </c>
      <c r="P18" s="161">
        <v>623</v>
      </c>
    </row>
    <row r="19" spans="2:17" ht="15.6" x14ac:dyDescent="0.3">
      <c r="B19" s="158">
        <v>13</v>
      </c>
      <c r="C19" s="159" t="s">
        <v>238</v>
      </c>
      <c r="D19" s="160">
        <v>2705</v>
      </c>
      <c r="E19" s="160">
        <v>2849.9999999999636</v>
      </c>
      <c r="F19" s="160">
        <v>2735.0000000000091</v>
      </c>
      <c r="G19" s="160">
        <v>2655</v>
      </c>
      <c r="H19" s="160">
        <v>2995.0000000000091</v>
      </c>
      <c r="I19" s="160">
        <v>2267.7999999999975</v>
      </c>
      <c r="J19" s="160">
        <v>2152.9999999999927</v>
      </c>
      <c r="K19" s="160">
        <v>2030.6000000000313</v>
      </c>
      <c r="L19" s="160">
        <v>2255.3999999999996</v>
      </c>
      <c r="M19" s="160">
        <v>3124.9999999999727</v>
      </c>
      <c r="N19" s="160">
        <v>5193.5999999999967</v>
      </c>
      <c r="O19" s="160">
        <v>3849.6000000000186</v>
      </c>
      <c r="P19" s="161">
        <v>34814.999999999993</v>
      </c>
    </row>
    <row r="20" spans="2:17" ht="15.6" x14ac:dyDescent="0.3">
      <c r="B20" s="158">
        <v>14</v>
      </c>
      <c r="C20" s="159" t="s">
        <v>239</v>
      </c>
      <c r="D20" s="160">
        <v>13301.999999999978</v>
      </c>
      <c r="E20" s="160">
        <v>15660.700000000032</v>
      </c>
      <c r="F20" s="160">
        <v>15189.899999999974</v>
      </c>
      <c r="G20" s="160">
        <v>17054.600000000028</v>
      </c>
      <c r="H20" s="160">
        <v>14139.199999999921</v>
      </c>
      <c r="I20" s="160">
        <v>14986.900000000045</v>
      </c>
      <c r="J20" s="160">
        <v>26175.499999999967</v>
      </c>
      <c r="K20" s="160">
        <v>28254.600000000046</v>
      </c>
      <c r="L20" s="160">
        <v>26694.200000000019</v>
      </c>
      <c r="M20" s="160">
        <v>23886.99999999992</v>
      </c>
      <c r="N20" s="160">
        <v>18683.200000000073</v>
      </c>
      <c r="O20" s="160">
        <v>19216.599999999959</v>
      </c>
      <c r="P20" s="161">
        <v>233244.39999999994</v>
      </c>
    </row>
    <row r="21" spans="2:17" ht="15.6" x14ac:dyDescent="0.3">
      <c r="B21" s="158">
        <v>15</v>
      </c>
      <c r="C21" s="159" t="s">
        <v>294</v>
      </c>
      <c r="D21" s="160">
        <v>0</v>
      </c>
      <c r="E21" s="160">
        <v>0</v>
      </c>
      <c r="F21" s="160">
        <v>0</v>
      </c>
      <c r="G21" s="160">
        <v>0</v>
      </c>
      <c r="H21" s="160">
        <v>0</v>
      </c>
      <c r="I21" s="160">
        <v>0</v>
      </c>
      <c r="J21" s="160">
        <v>0</v>
      </c>
      <c r="K21" s="160">
        <v>0</v>
      </c>
      <c r="L21" s="160">
        <v>0</v>
      </c>
      <c r="M21" s="160">
        <v>0</v>
      </c>
      <c r="N21" s="160">
        <v>0</v>
      </c>
      <c r="O21" s="160">
        <v>5400</v>
      </c>
      <c r="P21" s="161">
        <v>5400</v>
      </c>
    </row>
    <row r="22" spans="2:17" ht="15.6" x14ac:dyDescent="0.3">
      <c r="B22" s="158">
        <v>16</v>
      </c>
      <c r="C22" s="159" t="s">
        <v>453</v>
      </c>
      <c r="D22" s="160">
        <v>63</v>
      </c>
      <c r="E22" s="160">
        <v>58</v>
      </c>
      <c r="F22" s="160">
        <v>60</v>
      </c>
      <c r="G22" s="160">
        <v>64</v>
      </c>
      <c r="H22" s="160">
        <v>62</v>
      </c>
      <c r="I22" s="160">
        <v>64</v>
      </c>
      <c r="J22" s="160">
        <v>71</v>
      </c>
      <c r="K22" s="160">
        <v>69</v>
      </c>
      <c r="L22" s="160">
        <v>57</v>
      </c>
      <c r="M22" s="160">
        <v>72</v>
      </c>
      <c r="N22" s="160">
        <v>69</v>
      </c>
      <c r="O22" s="160">
        <v>68</v>
      </c>
      <c r="P22" s="161">
        <v>777</v>
      </c>
    </row>
    <row r="23" spans="2:17" ht="15.6" x14ac:dyDescent="0.3">
      <c r="B23" s="158">
        <v>17</v>
      </c>
      <c r="C23" s="159" t="s">
        <v>558</v>
      </c>
      <c r="D23" s="160">
        <v>0</v>
      </c>
      <c r="E23" s="160">
        <v>0</v>
      </c>
      <c r="F23" s="160">
        <v>0</v>
      </c>
      <c r="G23" s="160">
        <v>2768.8</v>
      </c>
      <c r="H23" s="160">
        <v>2454.4699999999998</v>
      </c>
      <c r="I23" s="160">
        <v>2809.77</v>
      </c>
      <c r="J23" s="160">
        <v>3349.23</v>
      </c>
      <c r="K23" s="160">
        <v>2638.86</v>
      </c>
      <c r="L23" s="160">
        <v>2814.44</v>
      </c>
      <c r="M23" s="160">
        <v>1751</v>
      </c>
      <c r="N23" s="160">
        <v>3137</v>
      </c>
      <c r="O23" s="160">
        <v>3011</v>
      </c>
      <c r="P23" s="161">
        <v>24734.57</v>
      </c>
    </row>
    <row r="24" spans="2:17" ht="15.6" x14ac:dyDescent="0.3">
      <c r="B24" s="158">
        <v>18</v>
      </c>
      <c r="C24" s="159" t="s">
        <v>297</v>
      </c>
      <c r="D24" s="160">
        <v>8944.7000000000407</v>
      </c>
      <c r="E24" s="160">
        <v>9952.3999999999251</v>
      </c>
      <c r="F24" s="160">
        <v>9248.2000000000589</v>
      </c>
      <c r="G24" s="160">
        <v>10864.400000000049</v>
      </c>
      <c r="H24" s="160">
        <v>9864.2999999999938</v>
      </c>
      <c r="I24" s="160">
        <v>9448.3999999999614</v>
      </c>
      <c r="J24" s="160">
        <v>9177.899999999976</v>
      </c>
      <c r="K24" s="160">
        <v>8547.8999999999978</v>
      </c>
      <c r="L24" s="160">
        <v>8213.0000000000618</v>
      </c>
      <c r="M24" s="160">
        <v>7870.4999999998981</v>
      </c>
      <c r="N24" s="160">
        <v>7996.500000000111</v>
      </c>
      <c r="O24" s="160">
        <v>7403.4999999999727</v>
      </c>
      <c r="P24" s="161">
        <v>107531.70000000004</v>
      </c>
    </row>
    <row r="25" spans="2:17" ht="15.6" x14ac:dyDescent="0.3">
      <c r="B25" s="158">
        <v>19</v>
      </c>
      <c r="C25" s="163" t="s">
        <v>209</v>
      </c>
      <c r="D25" s="160">
        <v>15848.719999999972</v>
      </c>
      <c r="E25" s="160">
        <v>19333.040000000008</v>
      </c>
      <c r="F25" s="160">
        <v>14964.220000000001</v>
      </c>
      <c r="G25" s="160">
        <v>14336.189999999908</v>
      </c>
      <c r="H25" s="160">
        <v>13134.580000000089</v>
      </c>
      <c r="I25" s="160">
        <v>12350.069999999942</v>
      </c>
      <c r="J25" s="160">
        <v>12691.450000000128</v>
      </c>
      <c r="K25" s="160">
        <v>13616.879999999903</v>
      </c>
      <c r="L25" s="160">
        <v>14036.490000000005</v>
      </c>
      <c r="M25" s="160">
        <v>14112.470000000176</v>
      </c>
      <c r="N25" s="160">
        <v>12754.859999999841</v>
      </c>
      <c r="O25" s="160">
        <v>16096.260000000082</v>
      </c>
      <c r="P25" s="161">
        <v>173275.23000000004</v>
      </c>
    </row>
    <row r="26" spans="2:17" ht="15.6" x14ac:dyDescent="0.3">
      <c r="B26" s="164"/>
      <c r="C26" s="165" t="s">
        <v>394</v>
      </c>
      <c r="D26" s="166">
        <v>2060005.2599999988</v>
      </c>
      <c r="E26" s="166">
        <v>2305459.200000002</v>
      </c>
      <c r="F26" s="166">
        <v>2017929.2299999988</v>
      </c>
      <c r="G26" s="166">
        <v>1998442.1599999985</v>
      </c>
      <c r="H26" s="166">
        <v>2043759.6400000036</v>
      </c>
      <c r="I26" s="166">
        <v>1921747.9499999969</v>
      </c>
      <c r="J26" s="166">
        <v>1979054.4600000023</v>
      </c>
      <c r="K26" s="166">
        <v>2015201.0199999996</v>
      </c>
      <c r="L26" s="166">
        <v>1959310.899999998</v>
      </c>
      <c r="M26" s="166">
        <v>2052232.29</v>
      </c>
      <c r="N26" s="166">
        <v>2040201.6566666674</v>
      </c>
      <c r="O26" s="166">
        <v>2137672.8266666681</v>
      </c>
      <c r="P26" s="167">
        <v>24531016.593333326</v>
      </c>
      <c r="Q26" s="103"/>
    </row>
    <row r="27" spans="2:17" ht="15.6" x14ac:dyDescent="0.3">
      <c r="B27" s="158">
        <v>1</v>
      </c>
      <c r="C27" s="168" t="s">
        <v>309</v>
      </c>
      <c r="D27" s="160">
        <v>1603292.3</v>
      </c>
      <c r="E27" s="160">
        <v>1787533.06</v>
      </c>
      <c r="F27" s="160">
        <v>1662754.2199999997</v>
      </c>
      <c r="G27" s="160">
        <v>1636944.22</v>
      </c>
      <c r="H27" s="160">
        <v>1610109.94</v>
      </c>
      <c r="I27" s="160">
        <v>1498430.8800000001</v>
      </c>
      <c r="J27" s="160">
        <v>1500911.4500000002</v>
      </c>
      <c r="K27" s="160">
        <v>1554196.42</v>
      </c>
      <c r="L27" s="160">
        <v>1481651.7700000005</v>
      </c>
      <c r="M27" s="160">
        <v>1555599.1099999999</v>
      </c>
      <c r="N27" s="160">
        <v>1456262.0100000002</v>
      </c>
      <c r="O27" s="160">
        <v>1570916.1099999999</v>
      </c>
      <c r="P27" s="161">
        <v>18918601.490000002</v>
      </c>
      <c r="Q27" s="103"/>
    </row>
    <row r="28" spans="2:17" ht="15.6" x14ac:dyDescent="0.3">
      <c r="B28" s="158">
        <v>2</v>
      </c>
      <c r="C28" s="168" t="s">
        <v>308</v>
      </c>
      <c r="D28" s="160">
        <v>11751</v>
      </c>
      <c r="E28" s="160">
        <v>11883</v>
      </c>
      <c r="F28" s="160">
        <v>11130</v>
      </c>
      <c r="G28" s="160">
        <v>10212</v>
      </c>
      <c r="H28" s="160">
        <v>9621</v>
      </c>
      <c r="I28" s="160">
        <v>9561</v>
      </c>
      <c r="J28" s="160">
        <v>8475</v>
      </c>
      <c r="K28" s="160">
        <v>9165</v>
      </c>
      <c r="L28" s="160">
        <v>10581</v>
      </c>
      <c r="M28" s="160">
        <v>11883</v>
      </c>
      <c r="N28" s="160">
        <v>13605</v>
      </c>
      <c r="O28" s="160">
        <v>13008</v>
      </c>
      <c r="P28" s="161">
        <v>130875</v>
      </c>
      <c r="Q28" s="103"/>
    </row>
    <row r="29" spans="2:17" ht="15.6" x14ac:dyDescent="0.3">
      <c r="B29" s="158">
        <v>4</v>
      </c>
      <c r="C29" s="168" t="s">
        <v>451</v>
      </c>
      <c r="D29" s="160">
        <v>6414</v>
      </c>
      <c r="E29" s="160">
        <v>4746</v>
      </c>
      <c r="F29" s="160">
        <v>4430</v>
      </c>
      <c r="G29" s="160">
        <v>4478</v>
      </c>
      <c r="H29" s="160">
        <v>5102</v>
      </c>
      <c r="I29" s="160">
        <v>4190</v>
      </c>
      <c r="J29" s="160">
        <v>3554</v>
      </c>
      <c r="K29" s="160">
        <v>4550</v>
      </c>
      <c r="L29" s="160">
        <v>2742</v>
      </c>
      <c r="M29" s="160">
        <v>4012</v>
      </c>
      <c r="N29" s="160">
        <v>4312</v>
      </c>
      <c r="O29" s="160">
        <v>5264</v>
      </c>
      <c r="P29" s="161">
        <v>53794</v>
      </c>
      <c r="Q29" s="103"/>
    </row>
    <row r="30" spans="2:17" ht="15.6" x14ac:dyDescent="0.3">
      <c r="B30" s="158">
        <v>3</v>
      </c>
      <c r="C30" s="169" t="s">
        <v>54</v>
      </c>
      <c r="D30" s="160">
        <v>34920</v>
      </c>
      <c r="E30" s="160">
        <v>41280</v>
      </c>
      <c r="F30" s="160">
        <v>37833</v>
      </c>
      <c r="G30" s="160">
        <v>37893</v>
      </c>
      <c r="H30" s="160">
        <v>36930</v>
      </c>
      <c r="I30" s="160">
        <v>35286</v>
      </c>
      <c r="J30" s="160">
        <v>28125</v>
      </c>
      <c r="K30" s="160">
        <v>36927</v>
      </c>
      <c r="L30" s="160">
        <v>40083</v>
      </c>
      <c r="M30" s="160">
        <v>37188</v>
      </c>
      <c r="N30" s="160">
        <v>37302</v>
      </c>
      <c r="O30" s="160">
        <v>41310</v>
      </c>
      <c r="P30" s="161">
        <v>445077</v>
      </c>
      <c r="Q30" s="103"/>
    </row>
    <row r="31" spans="2:17" ht="15.6" x14ac:dyDescent="0.3">
      <c r="B31" s="164"/>
      <c r="C31" s="165" t="s">
        <v>393</v>
      </c>
      <c r="D31" s="166">
        <v>1656377.3</v>
      </c>
      <c r="E31" s="166">
        <v>1845442.06</v>
      </c>
      <c r="F31" s="166">
        <v>1716147.2199999997</v>
      </c>
      <c r="G31" s="166">
        <v>1689527.22</v>
      </c>
      <c r="H31" s="166">
        <v>1661762.94</v>
      </c>
      <c r="I31" s="166">
        <v>1547467.8800000001</v>
      </c>
      <c r="J31" s="166">
        <v>1541065.4500000002</v>
      </c>
      <c r="K31" s="166">
        <v>1604838.42</v>
      </c>
      <c r="L31" s="166">
        <v>1535057.7700000005</v>
      </c>
      <c r="M31" s="166">
        <v>1608682.1099999999</v>
      </c>
      <c r="N31" s="166">
        <v>1511481.0100000002</v>
      </c>
      <c r="O31" s="166">
        <v>1630498.1099999999</v>
      </c>
      <c r="P31" s="167">
        <v>19548347.490000002</v>
      </c>
      <c r="Q31" s="103"/>
    </row>
    <row r="32" spans="2:17" ht="15.6" x14ac:dyDescent="0.3">
      <c r="B32" s="158"/>
      <c r="C32" s="163" t="s">
        <v>395</v>
      </c>
      <c r="D32" s="170">
        <v>37.163825599999988</v>
      </c>
      <c r="E32" s="170">
        <v>41.50901260000002</v>
      </c>
      <c r="F32" s="170">
        <v>37.340764499999985</v>
      </c>
      <c r="G32" s="170">
        <v>36.879693799999984</v>
      </c>
      <c r="H32" s="170">
        <v>37.055225800000038</v>
      </c>
      <c r="I32" s="170">
        <v>34.692158299999974</v>
      </c>
      <c r="J32" s="170">
        <v>35.201199100000025</v>
      </c>
      <c r="K32" s="170">
        <v>36.200394399999993</v>
      </c>
      <c r="L32" s="170">
        <v>34.943686699999986</v>
      </c>
      <c r="M32" s="170">
        <v>36.609144000000001</v>
      </c>
      <c r="N32" s="170">
        <v>35.516826666666681</v>
      </c>
      <c r="O32" s="170">
        <v>37.681709366666681</v>
      </c>
      <c r="P32" s="171">
        <v>440.79364083333326</v>
      </c>
    </row>
    <row r="33" spans="2:16" ht="16.2" thickBot="1" x14ac:dyDescent="0.35">
      <c r="B33" s="172"/>
      <c r="C33" s="173" t="s">
        <v>211</v>
      </c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5"/>
      <c r="P33" s="176">
        <v>462.69299999999998</v>
      </c>
    </row>
    <row r="38" spans="2:16" x14ac:dyDescent="0.25">
      <c r="B38" s="177"/>
      <c r="N38" s="178"/>
    </row>
    <row r="39" spans="2:16" x14ac:dyDescent="0.25">
      <c r="B39" s="177"/>
      <c r="N39" s="179"/>
    </row>
    <row r="44" spans="2:16" ht="14.4" x14ac:dyDescent="0.3">
      <c r="B44" s="180"/>
      <c r="C44" s="181"/>
      <c r="N44" s="182"/>
    </row>
    <row r="45" spans="2:16" ht="14.4" x14ac:dyDescent="0.3">
      <c r="B45" s="180"/>
      <c r="C45" s="183"/>
      <c r="N45" s="182"/>
    </row>
  </sheetData>
  <sortState xmlns:xlrd2="http://schemas.microsoft.com/office/spreadsheetml/2017/richdata2" ref="B7:P24">
    <sortCondition ref="B7:B24"/>
  </sortState>
  <mergeCells count="3">
    <mergeCell ref="B2:P2"/>
    <mergeCell ref="B3:P3"/>
    <mergeCell ref="B4:N4"/>
  </mergeCells>
  <printOptions horizontalCentered="1" verticalCentered="1"/>
  <pageMargins left="0.7" right="0.7" top="0.75" bottom="0.75" header="0.3" footer="0.3"/>
  <pageSetup paperSize="9" scale="71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8">
    <pageSetUpPr fitToPage="1"/>
  </sheetPr>
  <dimension ref="B1:Q50"/>
  <sheetViews>
    <sheetView view="pageBreakPreview" zoomScale="60" zoomScaleNormal="70" workbookViewId="0">
      <selection activeCell="Q15" sqref="Q15:T30"/>
    </sheetView>
  </sheetViews>
  <sheetFormatPr defaultColWidth="9.109375" defaultRowHeight="15.6" x14ac:dyDescent="0.3"/>
  <cols>
    <col min="1" max="1" width="9.109375" style="149"/>
    <col min="2" max="2" width="8" style="149" customWidth="1"/>
    <col min="3" max="3" width="72.21875" style="149" bestFit="1" customWidth="1"/>
    <col min="4" max="4" width="11.6640625" style="149" customWidth="1"/>
    <col min="5" max="5" width="12" style="149" customWidth="1"/>
    <col min="6" max="7" width="11.21875" style="149" bestFit="1" customWidth="1"/>
    <col min="8" max="8" width="11.6640625" style="149" customWidth="1"/>
    <col min="9" max="10" width="11.21875" style="149" bestFit="1" customWidth="1"/>
    <col min="11" max="11" width="10.77734375" style="149" bestFit="1" customWidth="1"/>
    <col min="12" max="12" width="10.88671875" style="149" customWidth="1"/>
    <col min="13" max="13" width="11.21875" style="149" customWidth="1"/>
    <col min="14" max="14" width="10.77734375" style="149" bestFit="1" customWidth="1"/>
    <col min="15" max="15" width="10.88671875" style="149" customWidth="1"/>
    <col min="16" max="16" width="12.21875" style="149" bestFit="1" customWidth="1"/>
    <col min="17" max="17" width="11.6640625" style="149" customWidth="1"/>
    <col min="18" max="20" width="9.109375" style="149"/>
    <col min="21" max="21" width="15.21875" style="149" customWidth="1"/>
    <col min="22" max="16384" width="9.109375" style="149"/>
  </cols>
  <sheetData>
    <row r="1" spans="2:16" ht="16.2" thickBot="1" x14ac:dyDescent="0.35"/>
    <row r="2" spans="2:16" ht="16.2" thickBot="1" x14ac:dyDescent="0.35">
      <c r="B2" s="1158" t="s">
        <v>546</v>
      </c>
      <c r="C2" s="1159"/>
      <c r="D2" s="1159"/>
      <c r="E2" s="1159"/>
      <c r="F2" s="1159"/>
      <c r="G2" s="1159"/>
      <c r="H2" s="1159"/>
      <c r="I2" s="1159"/>
      <c r="J2" s="1159"/>
      <c r="K2" s="1159"/>
      <c r="L2" s="1159"/>
      <c r="M2" s="1159"/>
      <c r="N2" s="1159"/>
      <c r="O2" s="1159"/>
      <c r="P2" s="1160"/>
    </row>
    <row r="3" spans="2:16" ht="16.2" thickBot="1" x14ac:dyDescent="0.35">
      <c r="B3" s="985" t="s">
        <v>382</v>
      </c>
      <c r="C3" s="986"/>
      <c r="D3" s="986"/>
      <c r="E3" s="986"/>
      <c r="F3" s="986"/>
      <c r="G3" s="986"/>
      <c r="H3" s="986"/>
      <c r="I3" s="986"/>
      <c r="J3" s="986"/>
      <c r="K3" s="986"/>
      <c r="L3" s="986"/>
      <c r="M3" s="986"/>
      <c r="N3" s="986"/>
      <c r="O3" s="986"/>
      <c r="P3" s="987"/>
    </row>
    <row r="4" spans="2:16" ht="16.2" thickBot="1" x14ac:dyDescent="0.35">
      <c r="B4" s="1161" t="s">
        <v>448</v>
      </c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  <c r="N4" s="1162"/>
      <c r="P4" s="150" t="s">
        <v>207</v>
      </c>
    </row>
    <row r="5" spans="2:16" ht="31.65" customHeight="1" x14ac:dyDescent="0.3">
      <c r="B5" s="648" t="s">
        <v>26</v>
      </c>
      <c r="C5" s="649" t="s">
        <v>143</v>
      </c>
      <c r="D5" s="649" t="s">
        <v>144</v>
      </c>
      <c r="E5" s="649" t="s">
        <v>145</v>
      </c>
      <c r="F5" s="649" t="s">
        <v>146</v>
      </c>
      <c r="G5" s="650" t="s">
        <v>147</v>
      </c>
      <c r="H5" s="650" t="s">
        <v>148</v>
      </c>
      <c r="I5" s="650" t="s">
        <v>149</v>
      </c>
      <c r="J5" s="650" t="s">
        <v>150</v>
      </c>
      <c r="K5" s="650" t="s">
        <v>151</v>
      </c>
      <c r="L5" s="650" t="s">
        <v>152</v>
      </c>
      <c r="M5" s="650" t="s">
        <v>153</v>
      </c>
      <c r="N5" s="650" t="s">
        <v>154</v>
      </c>
      <c r="O5" s="650" t="s">
        <v>155</v>
      </c>
      <c r="P5" s="651" t="s">
        <v>22</v>
      </c>
    </row>
    <row r="6" spans="2:16" s="213" customFormat="1" x14ac:dyDescent="0.3">
      <c r="B6" s="155">
        <v>1</v>
      </c>
      <c r="C6" s="156">
        <v>2</v>
      </c>
      <c r="D6" s="156">
        <v>3</v>
      </c>
      <c r="E6" s="156">
        <v>4</v>
      </c>
      <c r="F6" s="156">
        <v>5</v>
      </c>
      <c r="G6" s="156">
        <v>6</v>
      </c>
      <c r="H6" s="156">
        <v>7</v>
      </c>
      <c r="I6" s="156">
        <v>8</v>
      </c>
      <c r="J6" s="156">
        <v>9</v>
      </c>
      <c r="K6" s="156">
        <v>10</v>
      </c>
      <c r="L6" s="156">
        <v>11</v>
      </c>
      <c r="M6" s="156">
        <v>12</v>
      </c>
      <c r="N6" s="156">
        <v>13</v>
      </c>
      <c r="O6" s="156">
        <v>14</v>
      </c>
      <c r="P6" s="157">
        <v>15</v>
      </c>
    </row>
    <row r="7" spans="2:16" s="215" customFormat="1" x14ac:dyDescent="0.3">
      <c r="B7" s="158">
        <v>1</v>
      </c>
      <c r="C7" s="652" t="s">
        <v>473</v>
      </c>
      <c r="D7" s="160">
        <v>4837.0000000000309</v>
      </c>
      <c r="E7" s="160">
        <v>4947.5000000000109</v>
      </c>
      <c r="F7" s="160">
        <v>4548.5000000000055</v>
      </c>
      <c r="G7" s="160">
        <v>5120.1999999999643</v>
      </c>
      <c r="H7" s="160">
        <v>6186.8999999999969</v>
      </c>
      <c r="I7" s="160">
        <v>5010.3000000000384</v>
      </c>
      <c r="J7" s="160">
        <v>4822.2999999999547</v>
      </c>
      <c r="K7" s="160">
        <v>5461.300000000032</v>
      </c>
      <c r="L7" s="160">
        <v>4479.8000000000029</v>
      </c>
      <c r="M7" s="160">
        <v>6287.0999999999876</v>
      </c>
      <c r="N7" s="160">
        <v>6270.5999999999976</v>
      </c>
      <c r="O7" s="160">
        <v>8543.4000000000233</v>
      </c>
      <c r="P7" s="161">
        <v>66514.900000000052</v>
      </c>
    </row>
    <row r="8" spans="2:16" s="215" customFormat="1" x14ac:dyDescent="0.3">
      <c r="B8" s="158">
        <v>2</v>
      </c>
      <c r="C8" s="652" t="s">
        <v>472</v>
      </c>
      <c r="D8" s="160">
        <v>1506.7599999999911</v>
      </c>
      <c r="E8" s="160">
        <v>1682.4300000000003</v>
      </c>
      <c r="F8" s="160">
        <v>1744.5999999999949</v>
      </c>
      <c r="G8" s="160">
        <v>1753.6200000000063</v>
      </c>
      <c r="H8" s="160">
        <v>2702.8399999999965</v>
      </c>
      <c r="I8" s="160">
        <v>1715.619999999999</v>
      </c>
      <c r="J8" s="160">
        <v>1728.7800000000097</v>
      </c>
      <c r="K8" s="160">
        <v>1762.1200000000026</v>
      </c>
      <c r="L8" s="160">
        <v>1492.5399999999906</v>
      </c>
      <c r="M8" s="160">
        <v>2186.5099999999993</v>
      </c>
      <c r="N8" s="160">
        <v>2130.2399999999993</v>
      </c>
      <c r="O8" s="160">
        <v>2004.6700000000164</v>
      </c>
      <c r="P8" s="161">
        <v>22410.730000000003</v>
      </c>
    </row>
    <row r="9" spans="2:16" s="215" customFormat="1" x14ac:dyDescent="0.3">
      <c r="B9" s="158">
        <v>3</v>
      </c>
      <c r="C9" s="652" t="s">
        <v>469</v>
      </c>
      <c r="D9" s="160">
        <v>72744.470000000074</v>
      </c>
      <c r="E9" s="160">
        <v>82137.190000000031</v>
      </c>
      <c r="F9" s="160">
        <v>78304.770000000048</v>
      </c>
      <c r="G9" s="160">
        <v>79028.74999999984</v>
      </c>
      <c r="H9" s="160">
        <v>83748.709999999963</v>
      </c>
      <c r="I9" s="160">
        <v>89561.350000000166</v>
      </c>
      <c r="J9" s="160">
        <v>84634.669999999955</v>
      </c>
      <c r="K9" s="160">
        <v>84746.08</v>
      </c>
      <c r="L9" s="160">
        <v>81073.129999999917</v>
      </c>
      <c r="M9" s="160">
        <v>85931.380000000077</v>
      </c>
      <c r="N9" s="160">
        <v>83068.606666666732</v>
      </c>
      <c r="O9" s="160">
        <v>83760.046666666589</v>
      </c>
      <c r="P9" s="161">
        <v>988739.15333333332</v>
      </c>
    </row>
    <row r="10" spans="2:16" s="215" customFormat="1" x14ac:dyDescent="0.3">
      <c r="B10" s="158">
        <v>4</v>
      </c>
      <c r="C10" s="652" t="s">
        <v>470</v>
      </c>
      <c r="D10" s="160">
        <v>12152.310000000001</v>
      </c>
      <c r="E10" s="160">
        <v>13443.169999999995</v>
      </c>
      <c r="F10" s="160">
        <v>12916.260000000017</v>
      </c>
      <c r="G10" s="160">
        <v>12836.059999999979</v>
      </c>
      <c r="H10" s="160">
        <v>13813.550000000005</v>
      </c>
      <c r="I10" s="160">
        <v>12317.330000000011</v>
      </c>
      <c r="J10" s="160">
        <v>12726.269999999993</v>
      </c>
      <c r="K10" s="160">
        <v>12716.569999999992</v>
      </c>
      <c r="L10" s="160">
        <v>11956.909999999996</v>
      </c>
      <c r="M10" s="160">
        <v>13778.01000000002</v>
      </c>
      <c r="N10" s="160">
        <v>19137.129999999997</v>
      </c>
      <c r="O10" s="160">
        <v>18115.729999999989</v>
      </c>
      <c r="P10" s="161">
        <v>165909.29999999999</v>
      </c>
    </row>
    <row r="11" spans="2:16" s="215" customFormat="1" x14ac:dyDescent="0.3">
      <c r="B11" s="158">
        <v>5</v>
      </c>
      <c r="C11" s="652" t="s">
        <v>471</v>
      </c>
      <c r="D11" s="160">
        <v>529529.93000000017</v>
      </c>
      <c r="E11" s="160">
        <v>583241.31999999913</v>
      </c>
      <c r="F11" s="160">
        <v>524487.47000000067</v>
      </c>
      <c r="G11" s="160">
        <v>513314.65</v>
      </c>
      <c r="H11" s="160">
        <v>561855.48</v>
      </c>
      <c r="I11" s="160">
        <v>496914.23000000045</v>
      </c>
      <c r="J11" s="160">
        <v>511479.65999999951</v>
      </c>
      <c r="K11" s="160">
        <v>522917.37000000046</v>
      </c>
      <c r="L11" s="160">
        <v>484398.87</v>
      </c>
      <c r="M11" s="160">
        <v>539038.75999999989</v>
      </c>
      <c r="N11" s="160">
        <v>536233.73999999964</v>
      </c>
      <c r="O11" s="160">
        <v>554598.44999999995</v>
      </c>
      <c r="P11" s="161">
        <v>6358009.9299999997</v>
      </c>
    </row>
    <row r="12" spans="2:16" s="215" customFormat="1" x14ac:dyDescent="0.3">
      <c r="B12" s="158">
        <v>6</v>
      </c>
      <c r="C12" s="652" t="s">
        <v>442</v>
      </c>
      <c r="D12" s="160">
        <v>1156.5000000000064</v>
      </c>
      <c r="E12" s="160">
        <v>1299.0999999999913</v>
      </c>
      <c r="F12" s="160">
        <v>979.20000000000255</v>
      </c>
      <c r="G12" s="160">
        <v>999.5</v>
      </c>
      <c r="H12" s="160">
        <v>1416.1999999999971</v>
      </c>
      <c r="I12" s="160">
        <v>904.40000000000873</v>
      </c>
      <c r="J12" s="160">
        <v>951.39999999999418</v>
      </c>
      <c r="K12" s="160">
        <v>1043</v>
      </c>
      <c r="L12" s="160">
        <v>1075.9000000000087</v>
      </c>
      <c r="M12" s="160">
        <v>1047.7999999999884</v>
      </c>
      <c r="N12" s="160">
        <v>1141.8000000000029</v>
      </c>
      <c r="O12" s="160">
        <v>996.80000000000291</v>
      </c>
      <c r="P12" s="161">
        <v>13011.600000000002</v>
      </c>
    </row>
    <row r="13" spans="2:16" s="215" customFormat="1" x14ac:dyDescent="0.3">
      <c r="B13" s="158">
        <v>7</v>
      </c>
      <c r="C13" s="652" t="s">
        <v>443</v>
      </c>
      <c r="D13" s="160">
        <v>3790.3000000000011</v>
      </c>
      <c r="E13" s="160">
        <v>4454.899999999996</v>
      </c>
      <c r="F13" s="160">
        <v>3880.3999999999978</v>
      </c>
      <c r="G13" s="160">
        <v>3794.6000000000045</v>
      </c>
      <c r="H13" s="160">
        <v>3790.4000000000033</v>
      </c>
      <c r="I13" s="160">
        <v>3539.5999999999967</v>
      </c>
      <c r="J13" s="160">
        <v>3601.5000000000018</v>
      </c>
      <c r="K13" s="160">
        <v>3536.399999999996</v>
      </c>
      <c r="L13" s="160">
        <v>3492.5</v>
      </c>
      <c r="M13" s="160">
        <v>3517.5400000000036</v>
      </c>
      <c r="N13" s="160">
        <v>3683.2499999999982</v>
      </c>
      <c r="O13" s="160">
        <v>3704.4399999999969</v>
      </c>
      <c r="P13" s="161">
        <v>44785.829999999987</v>
      </c>
    </row>
    <row r="14" spans="2:16" s="215" customFormat="1" x14ac:dyDescent="0.3">
      <c r="B14" s="158">
        <v>8</v>
      </c>
      <c r="C14" s="652" t="s">
        <v>444</v>
      </c>
      <c r="D14" s="160">
        <v>12411.400000000007</v>
      </c>
      <c r="E14" s="160">
        <v>13381.949999999997</v>
      </c>
      <c r="F14" s="160">
        <v>14451.770000000004</v>
      </c>
      <c r="G14" s="160">
        <v>15404.329999999954</v>
      </c>
      <c r="H14" s="160">
        <v>17967.840000000022</v>
      </c>
      <c r="I14" s="160">
        <v>17733.799999999879</v>
      </c>
      <c r="J14" s="160">
        <v>18325.620000000101</v>
      </c>
      <c r="K14" s="160">
        <v>22218.520000000095</v>
      </c>
      <c r="L14" s="160">
        <v>57290.979999999909</v>
      </c>
      <c r="M14" s="160">
        <v>74425.931999999913</v>
      </c>
      <c r="N14" s="160">
        <v>77082.670000000027</v>
      </c>
      <c r="O14" s="160">
        <v>108996.37</v>
      </c>
      <c r="P14" s="161">
        <v>449691.18199999991</v>
      </c>
    </row>
    <row r="15" spans="2:16" s="215" customFormat="1" x14ac:dyDescent="0.3">
      <c r="B15" s="158">
        <v>9</v>
      </c>
      <c r="C15" s="652" t="s">
        <v>445</v>
      </c>
      <c r="D15" s="160">
        <v>6164.9199999999983</v>
      </c>
      <c r="E15" s="160">
        <v>7107.1700000000028</v>
      </c>
      <c r="F15" s="160">
        <v>6791.4700000000103</v>
      </c>
      <c r="G15" s="160">
        <v>6507.6799999999957</v>
      </c>
      <c r="H15" s="160">
        <v>5743.43</v>
      </c>
      <c r="I15" s="160">
        <v>5496.7699999999932</v>
      </c>
      <c r="J15" s="160">
        <v>6552.0699999999842</v>
      </c>
      <c r="K15" s="160">
        <v>6759.5500000000156</v>
      </c>
      <c r="L15" s="160">
        <v>6436.6099999999924</v>
      </c>
      <c r="M15" s="160">
        <v>6655.0600000000013</v>
      </c>
      <c r="N15" s="160">
        <v>6631.47</v>
      </c>
      <c r="O15" s="160">
        <v>6632.1900000000005</v>
      </c>
      <c r="P15" s="161">
        <v>77478.39</v>
      </c>
    </row>
    <row r="16" spans="2:16" s="215" customFormat="1" x14ac:dyDescent="0.3">
      <c r="B16" s="158">
        <v>10</v>
      </c>
      <c r="C16" s="652" t="s">
        <v>240</v>
      </c>
      <c r="D16" s="160">
        <v>890</v>
      </c>
      <c r="E16" s="160">
        <v>1010</v>
      </c>
      <c r="F16" s="160">
        <v>1000</v>
      </c>
      <c r="G16" s="160">
        <v>1070</v>
      </c>
      <c r="H16" s="160">
        <v>1010</v>
      </c>
      <c r="I16" s="160">
        <v>1060</v>
      </c>
      <c r="J16" s="160">
        <v>980</v>
      </c>
      <c r="K16" s="160">
        <v>400</v>
      </c>
      <c r="L16" s="160">
        <v>1513.08</v>
      </c>
      <c r="M16" s="160">
        <v>904.44</v>
      </c>
      <c r="N16" s="160">
        <v>819.46</v>
      </c>
      <c r="O16" s="160">
        <v>601.02</v>
      </c>
      <c r="P16" s="161">
        <v>11258</v>
      </c>
    </row>
    <row r="17" spans="2:17" s="215" customFormat="1" x14ac:dyDescent="0.3">
      <c r="B17" s="158">
        <v>11</v>
      </c>
      <c r="C17" s="159" t="s">
        <v>453</v>
      </c>
      <c r="D17" s="160">
        <v>394</v>
      </c>
      <c r="E17" s="160">
        <v>381</v>
      </c>
      <c r="F17" s="160">
        <v>377</v>
      </c>
      <c r="G17" s="160">
        <v>393</v>
      </c>
      <c r="H17" s="160">
        <v>406</v>
      </c>
      <c r="I17" s="160">
        <v>416</v>
      </c>
      <c r="J17" s="160">
        <v>364</v>
      </c>
      <c r="K17" s="160">
        <v>392</v>
      </c>
      <c r="L17" s="160">
        <v>403</v>
      </c>
      <c r="M17" s="160">
        <v>403</v>
      </c>
      <c r="N17" s="160">
        <v>366</v>
      </c>
      <c r="O17" s="160">
        <v>377</v>
      </c>
      <c r="P17" s="161">
        <v>4672</v>
      </c>
    </row>
    <row r="18" spans="2:17" s="215" customFormat="1" x14ac:dyDescent="0.3">
      <c r="B18" s="158">
        <v>12</v>
      </c>
      <c r="C18" s="168" t="s">
        <v>209</v>
      </c>
      <c r="D18" s="160">
        <v>9333.6160000000309</v>
      </c>
      <c r="E18" s="160">
        <v>9078.94</v>
      </c>
      <c r="F18" s="160">
        <v>8107.93</v>
      </c>
      <c r="G18" s="160">
        <v>8965.32</v>
      </c>
      <c r="H18" s="160">
        <v>9658.7900000000009</v>
      </c>
      <c r="I18" s="160">
        <v>7346.57</v>
      </c>
      <c r="J18" s="160">
        <v>8769.8700000000172</v>
      </c>
      <c r="K18" s="160">
        <v>9548.6640000000079</v>
      </c>
      <c r="L18" s="160">
        <v>8997.4819999999618</v>
      </c>
      <c r="M18" s="160">
        <v>8647.3540000000467</v>
      </c>
      <c r="N18" s="160">
        <v>8810.6699999999983</v>
      </c>
      <c r="O18" s="160">
        <v>8648.9999999999891</v>
      </c>
      <c r="P18" s="161">
        <v>105914.20600000005</v>
      </c>
    </row>
    <row r="19" spans="2:17" s="215" customFormat="1" x14ac:dyDescent="0.3">
      <c r="B19" s="653"/>
      <c r="C19" s="165" t="s">
        <v>446</v>
      </c>
      <c r="D19" s="166">
        <v>654911.20600000035</v>
      </c>
      <c r="E19" s="166">
        <v>722164.66999999911</v>
      </c>
      <c r="F19" s="166">
        <v>657589.37000000081</v>
      </c>
      <c r="G19" s="166">
        <v>649187.70999999973</v>
      </c>
      <c r="H19" s="166">
        <v>708300.14</v>
      </c>
      <c r="I19" s="166">
        <v>642015.97000000055</v>
      </c>
      <c r="J19" s="166">
        <v>654936.13999999955</v>
      </c>
      <c r="K19" s="166">
        <v>671501.57400000072</v>
      </c>
      <c r="L19" s="166">
        <v>662610.80199999968</v>
      </c>
      <c r="M19" s="166">
        <v>742822.88600000006</v>
      </c>
      <c r="N19" s="166">
        <v>745375.63666666648</v>
      </c>
      <c r="O19" s="166">
        <v>796979.11666666658</v>
      </c>
      <c r="P19" s="167">
        <v>8308395.2213333333</v>
      </c>
      <c r="Q19" s="659"/>
    </row>
    <row r="20" spans="2:17" s="215" customFormat="1" x14ac:dyDescent="0.3">
      <c r="B20" s="158">
        <v>1</v>
      </c>
      <c r="C20" s="168" t="s">
        <v>439</v>
      </c>
      <c r="D20" s="160">
        <v>1268220</v>
      </c>
      <c r="E20" s="160">
        <v>1385700</v>
      </c>
      <c r="F20" s="160">
        <v>1297420</v>
      </c>
      <c r="G20" s="160">
        <v>1273000</v>
      </c>
      <c r="H20" s="160">
        <v>1286420</v>
      </c>
      <c r="I20" s="160">
        <v>1242570</v>
      </c>
      <c r="J20" s="160">
        <v>1336695</v>
      </c>
      <c r="K20" s="160">
        <v>1420825</v>
      </c>
      <c r="L20" s="160">
        <v>1518946</v>
      </c>
      <c r="M20" s="160">
        <v>1571432</v>
      </c>
      <c r="N20" s="160">
        <v>1522604</v>
      </c>
      <c r="O20" s="160">
        <v>1596986</v>
      </c>
      <c r="P20" s="161">
        <v>16720818</v>
      </c>
    </row>
    <row r="21" spans="2:17" s="215" customFormat="1" x14ac:dyDescent="0.3">
      <c r="B21" s="158">
        <v>2</v>
      </c>
      <c r="C21" s="168" t="s">
        <v>440</v>
      </c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1">
        <v>0</v>
      </c>
    </row>
    <row r="22" spans="2:17" s="215" customFormat="1" x14ac:dyDescent="0.3">
      <c r="B22" s="158">
        <v>3</v>
      </c>
      <c r="C22" s="168" t="s">
        <v>451</v>
      </c>
      <c r="D22" s="160">
        <v>30131</v>
      </c>
      <c r="E22" s="160">
        <v>32004</v>
      </c>
      <c r="F22" s="160">
        <v>32853</v>
      </c>
      <c r="G22" s="160">
        <v>37746</v>
      </c>
      <c r="H22" s="160">
        <v>40045</v>
      </c>
      <c r="I22" s="160">
        <v>41726</v>
      </c>
      <c r="J22" s="160">
        <v>24191</v>
      </c>
      <c r="K22" s="160">
        <v>13700</v>
      </c>
      <c r="L22" s="160">
        <v>13155</v>
      </c>
      <c r="M22" s="160">
        <v>13545</v>
      </c>
      <c r="N22" s="160">
        <v>13725</v>
      </c>
      <c r="O22" s="160">
        <v>14715</v>
      </c>
      <c r="P22" s="161">
        <v>307536</v>
      </c>
    </row>
    <row r="23" spans="2:17" s="215" customFormat="1" x14ac:dyDescent="0.3">
      <c r="B23" s="158">
        <v>3</v>
      </c>
      <c r="C23" s="169" t="s">
        <v>441</v>
      </c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1">
        <v>0</v>
      </c>
    </row>
    <row r="24" spans="2:17" s="215" customFormat="1" x14ac:dyDescent="0.3">
      <c r="B24" s="653"/>
      <c r="C24" s="165" t="s">
        <v>393</v>
      </c>
      <c r="D24" s="166">
        <v>1298351</v>
      </c>
      <c r="E24" s="166">
        <v>1417704</v>
      </c>
      <c r="F24" s="166">
        <v>1330273</v>
      </c>
      <c r="G24" s="166">
        <v>1310746</v>
      </c>
      <c r="H24" s="166">
        <v>1326465</v>
      </c>
      <c r="I24" s="166">
        <v>1284296</v>
      </c>
      <c r="J24" s="166">
        <v>1360886</v>
      </c>
      <c r="K24" s="166">
        <v>1434525</v>
      </c>
      <c r="L24" s="166">
        <v>1532101</v>
      </c>
      <c r="M24" s="166">
        <v>1584977</v>
      </c>
      <c r="N24" s="166">
        <v>1536329</v>
      </c>
      <c r="O24" s="166">
        <v>1611701</v>
      </c>
      <c r="P24" s="167">
        <v>17028354</v>
      </c>
      <c r="Q24" s="659"/>
    </row>
    <row r="25" spans="2:17" s="215" customFormat="1" x14ac:dyDescent="0.3">
      <c r="B25" s="158"/>
      <c r="C25" s="163" t="s">
        <v>447</v>
      </c>
      <c r="D25" s="170">
        <v>19.532622060000001</v>
      </c>
      <c r="E25" s="170">
        <v>21.398686699999988</v>
      </c>
      <c r="F25" s="170">
        <v>19.878623700000009</v>
      </c>
      <c r="G25" s="170">
        <v>19.599337099999996</v>
      </c>
      <c r="H25" s="170">
        <v>20.3476514</v>
      </c>
      <c r="I25" s="170">
        <v>19.263119700000008</v>
      </c>
      <c r="J25" s="170">
        <v>20.158221399999995</v>
      </c>
      <c r="K25" s="170">
        <v>21.060265740000009</v>
      </c>
      <c r="L25" s="170">
        <v>21.947118019999998</v>
      </c>
      <c r="M25" s="170">
        <v>23.27799886</v>
      </c>
      <c r="N25" s="170">
        <v>22.817046366666666</v>
      </c>
      <c r="O25" s="170">
        <v>24.086801166666667</v>
      </c>
      <c r="P25" s="171">
        <v>253.36749221333332</v>
      </c>
    </row>
    <row r="26" spans="2:17" s="215" customFormat="1" ht="16.2" thickBot="1" x14ac:dyDescent="0.35">
      <c r="B26" s="172"/>
      <c r="C26" s="173" t="s">
        <v>211</v>
      </c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5"/>
      <c r="P26" s="176">
        <v>257.16449999999998</v>
      </c>
    </row>
    <row r="27" spans="2:17" s="215" customFormat="1" x14ac:dyDescent="0.3"/>
    <row r="28" spans="2:17" s="215" customFormat="1" x14ac:dyDescent="0.3"/>
    <row r="29" spans="2:17" s="215" customFormat="1" x14ac:dyDescent="0.3"/>
    <row r="30" spans="2:17" s="215" customFormat="1" x14ac:dyDescent="0.3"/>
    <row r="31" spans="2:17" s="215" customFormat="1" x14ac:dyDescent="0.3">
      <c r="B31" s="17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8"/>
    </row>
    <row r="32" spans="2:17" s="215" customFormat="1" x14ac:dyDescent="0.3">
      <c r="B32" s="17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9"/>
    </row>
    <row r="33" spans="2:14" s="215" customForma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s="215" customForma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x14ac:dyDescent="0.3">
      <c r="B37" s="180"/>
      <c r="C37" s="181"/>
      <c r="D37" s="1"/>
      <c r="E37" s="1"/>
      <c r="F37" s="1"/>
      <c r="G37" s="1"/>
      <c r="H37" s="1"/>
      <c r="I37" s="1"/>
      <c r="J37" s="1"/>
      <c r="K37" s="1"/>
      <c r="L37" s="1"/>
      <c r="M37" s="1"/>
      <c r="N37" s="182"/>
    </row>
    <row r="38" spans="2:14" x14ac:dyDescent="0.3">
      <c r="B38" s="180"/>
      <c r="C38" s="183"/>
      <c r="D38" s="1"/>
      <c r="E38" s="1"/>
      <c r="F38" s="1"/>
      <c r="G38" s="1"/>
      <c r="H38" s="1"/>
      <c r="I38" s="1"/>
      <c r="J38" s="1"/>
      <c r="K38" s="1"/>
      <c r="L38" s="1"/>
      <c r="M38" s="1"/>
      <c r="N38" s="182"/>
    </row>
    <row r="43" spans="2:14" s="213" customFormat="1" x14ac:dyDescent="0.3"/>
    <row r="44" spans="2:14" s="215" customFormat="1" x14ac:dyDescent="0.3"/>
    <row r="45" spans="2:14" s="215" customFormat="1" x14ac:dyDescent="0.3"/>
    <row r="46" spans="2:14" s="215" customFormat="1" x14ac:dyDescent="0.3"/>
    <row r="47" spans="2:14" s="215" customFormat="1" x14ac:dyDescent="0.3"/>
    <row r="48" spans="2:14" s="215" customFormat="1" x14ac:dyDescent="0.3"/>
    <row r="49" s="215" customFormat="1" x14ac:dyDescent="0.3"/>
    <row r="50" s="215" customFormat="1" x14ac:dyDescent="0.3"/>
  </sheetData>
  <mergeCells count="3">
    <mergeCell ref="B2:P2"/>
    <mergeCell ref="B3:P3"/>
    <mergeCell ref="B4:N4"/>
  </mergeCells>
  <printOptions horizontalCentered="1" verticalCentered="1"/>
  <pageMargins left="0.25" right="0.25" top="0.75" bottom="0.75" header="0.3" footer="0.3"/>
  <pageSetup paperSize="9" scale="62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rgb="FFC00000"/>
    <pageSetUpPr fitToPage="1"/>
  </sheetPr>
  <dimension ref="B1:Q35"/>
  <sheetViews>
    <sheetView view="pageBreakPreview" zoomScale="60" zoomScaleNormal="70" workbookViewId="0">
      <selection activeCell="A27" sqref="A27:XFD55"/>
    </sheetView>
  </sheetViews>
  <sheetFormatPr defaultColWidth="9.109375" defaultRowHeight="13.8" x14ac:dyDescent="0.25"/>
  <cols>
    <col min="1" max="2" width="9.109375" style="1"/>
    <col min="3" max="3" width="50" style="1" bestFit="1" customWidth="1"/>
    <col min="4" max="4" width="9.21875" style="1" bestFit="1" customWidth="1"/>
    <col min="5" max="15" width="10.6640625" style="1" bestFit="1" customWidth="1"/>
    <col min="16" max="16" width="11" style="1" customWidth="1"/>
    <col min="17" max="17" width="9.109375" style="1"/>
    <col min="18" max="18" width="12.6640625" style="1" customWidth="1"/>
    <col min="19" max="16384" width="9.109375" style="1"/>
  </cols>
  <sheetData>
    <row r="1" spans="2:17" ht="14.4" thickBot="1" x14ac:dyDescent="0.3"/>
    <row r="2" spans="2:17" ht="16.2" thickBot="1" x14ac:dyDescent="0.3">
      <c r="B2" s="1158" t="s">
        <v>546</v>
      </c>
      <c r="C2" s="1159"/>
      <c r="D2" s="1159"/>
      <c r="E2" s="1159"/>
      <c r="F2" s="1159"/>
      <c r="G2" s="1159"/>
      <c r="H2" s="1159"/>
      <c r="I2" s="1159"/>
      <c r="J2" s="1159"/>
      <c r="K2" s="1159"/>
      <c r="L2" s="1159"/>
      <c r="M2" s="1159"/>
      <c r="N2" s="1159"/>
      <c r="O2" s="1159"/>
      <c r="P2" s="1160"/>
    </row>
    <row r="3" spans="2:17" ht="16.2" thickBot="1" x14ac:dyDescent="0.35">
      <c r="B3" s="985" t="s">
        <v>382</v>
      </c>
      <c r="C3" s="986"/>
      <c r="D3" s="986"/>
      <c r="E3" s="986"/>
      <c r="F3" s="986"/>
      <c r="G3" s="986"/>
      <c r="H3" s="986"/>
      <c r="I3" s="986"/>
      <c r="J3" s="986"/>
      <c r="K3" s="986"/>
      <c r="L3" s="986"/>
      <c r="M3" s="986"/>
      <c r="N3" s="986"/>
      <c r="O3" s="986"/>
      <c r="P3" s="987"/>
    </row>
    <row r="4" spans="2:17" ht="15.6" x14ac:dyDescent="0.3">
      <c r="B4" s="1161" t="s">
        <v>490</v>
      </c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  <c r="N4" s="1162"/>
      <c r="O4" s="149"/>
      <c r="P4" s="150" t="s">
        <v>207</v>
      </c>
    </row>
    <row r="5" spans="2:17" ht="30.75" customHeight="1" x14ac:dyDescent="0.25">
      <c r="B5" s="151" t="s">
        <v>26</v>
      </c>
      <c r="C5" s="152" t="s">
        <v>143</v>
      </c>
      <c r="D5" s="152" t="s">
        <v>144</v>
      </c>
      <c r="E5" s="152" t="s">
        <v>145</v>
      </c>
      <c r="F5" s="152" t="s">
        <v>146</v>
      </c>
      <c r="G5" s="153" t="s">
        <v>147</v>
      </c>
      <c r="H5" s="153" t="s">
        <v>148</v>
      </c>
      <c r="I5" s="153" t="s">
        <v>149</v>
      </c>
      <c r="J5" s="153" t="s">
        <v>150</v>
      </c>
      <c r="K5" s="153" t="s">
        <v>151</v>
      </c>
      <c r="L5" s="153" t="s">
        <v>152</v>
      </c>
      <c r="M5" s="153" t="s">
        <v>153</v>
      </c>
      <c r="N5" s="153" t="s">
        <v>154</v>
      </c>
      <c r="O5" s="153" t="s">
        <v>155</v>
      </c>
      <c r="P5" s="154" t="s">
        <v>22</v>
      </c>
    </row>
    <row r="6" spans="2:17" ht="15.6" x14ac:dyDescent="0.25">
      <c r="B6" s="155">
        <v>1</v>
      </c>
      <c r="C6" s="156">
        <v>2</v>
      </c>
      <c r="D6" s="156">
        <v>3</v>
      </c>
      <c r="E6" s="156">
        <v>4</v>
      </c>
      <c r="F6" s="156">
        <v>5</v>
      </c>
      <c r="G6" s="156">
        <v>6</v>
      </c>
      <c r="H6" s="156">
        <v>7</v>
      </c>
      <c r="I6" s="156">
        <v>8</v>
      </c>
      <c r="J6" s="156">
        <v>9</v>
      </c>
      <c r="K6" s="156">
        <v>10</v>
      </c>
      <c r="L6" s="156">
        <v>11</v>
      </c>
      <c r="M6" s="156">
        <v>12</v>
      </c>
      <c r="N6" s="156">
        <v>13</v>
      </c>
      <c r="O6" s="156">
        <v>14</v>
      </c>
      <c r="P6" s="157">
        <v>15</v>
      </c>
    </row>
    <row r="7" spans="2:17" ht="15.6" x14ac:dyDescent="0.3">
      <c r="B7" s="158">
        <v>1</v>
      </c>
      <c r="C7" s="159" t="s">
        <v>254</v>
      </c>
      <c r="D7" s="160">
        <v>3655.8000000000011</v>
      </c>
      <c r="E7" s="160">
        <v>3531.3000000000011</v>
      </c>
      <c r="F7" s="160">
        <v>3276.2999999999993</v>
      </c>
      <c r="G7" s="160">
        <v>3328.7999999999993</v>
      </c>
      <c r="H7" s="160">
        <v>3169</v>
      </c>
      <c r="I7" s="160">
        <v>2962</v>
      </c>
      <c r="J7" s="160">
        <v>369</v>
      </c>
      <c r="K7" s="160">
        <v>725.59999999999854</v>
      </c>
      <c r="L7" s="160">
        <v>993.40000000000146</v>
      </c>
      <c r="M7" s="160">
        <v>1143</v>
      </c>
      <c r="N7" s="160">
        <v>974</v>
      </c>
      <c r="O7" s="160">
        <v>913</v>
      </c>
      <c r="P7" s="161">
        <v>25041.200000000001</v>
      </c>
    </row>
    <row r="8" spans="2:17" ht="15.6" x14ac:dyDescent="0.3">
      <c r="B8" s="158">
        <v>2</v>
      </c>
      <c r="C8" s="159" t="s">
        <v>521</v>
      </c>
      <c r="D8" s="160">
        <v>0</v>
      </c>
      <c r="E8" s="160">
        <v>0</v>
      </c>
      <c r="F8" s="160">
        <v>0</v>
      </c>
      <c r="G8" s="160">
        <v>22.697999999999993</v>
      </c>
      <c r="H8" s="160">
        <v>0</v>
      </c>
      <c r="I8" s="160">
        <v>0</v>
      </c>
      <c r="J8" s="160">
        <v>0</v>
      </c>
      <c r="K8" s="160">
        <v>0</v>
      </c>
      <c r="L8" s="160">
        <v>0</v>
      </c>
      <c r="M8" s="160">
        <v>5</v>
      </c>
      <c r="N8" s="160">
        <v>0</v>
      </c>
      <c r="O8" s="160">
        <v>97</v>
      </c>
      <c r="P8" s="161">
        <v>124.69799999999999</v>
      </c>
    </row>
    <row r="9" spans="2:17" ht="15.6" x14ac:dyDescent="0.3">
      <c r="B9" s="158">
        <v>3</v>
      </c>
      <c r="C9" s="159" t="s">
        <v>256</v>
      </c>
      <c r="D9" s="160">
        <v>444.31100000000004</v>
      </c>
      <c r="E9" s="160">
        <v>1344.7530000000002</v>
      </c>
      <c r="F9" s="160">
        <v>1276.4979999999998</v>
      </c>
      <c r="G9" s="160">
        <v>1432.4770000000003</v>
      </c>
      <c r="H9" s="160">
        <v>550.99199999999996</v>
      </c>
      <c r="I9" s="160">
        <v>529.798</v>
      </c>
      <c r="J9" s="160">
        <v>573.99999999999989</v>
      </c>
      <c r="K9" s="160">
        <v>573.48</v>
      </c>
      <c r="L9" s="160">
        <v>535.91000000000008</v>
      </c>
      <c r="M9" s="160">
        <v>646.36999999999989</v>
      </c>
      <c r="N9" s="160">
        <v>576.6099999999999</v>
      </c>
      <c r="O9" s="160">
        <v>580.24</v>
      </c>
      <c r="P9" s="161">
        <v>9065.4390000000003</v>
      </c>
    </row>
    <row r="10" spans="2:17" ht="15.6" x14ac:dyDescent="0.3">
      <c r="B10" s="158">
        <v>4</v>
      </c>
      <c r="C10" s="159" t="s">
        <v>522</v>
      </c>
      <c r="D10" s="160">
        <v>39150.800000000003</v>
      </c>
      <c r="E10" s="160">
        <v>43549.200000000004</v>
      </c>
      <c r="F10" s="160">
        <v>41098</v>
      </c>
      <c r="G10" s="160">
        <v>40775.1</v>
      </c>
      <c r="H10" s="160">
        <v>37809.800000000003</v>
      </c>
      <c r="I10" s="160">
        <v>37059.4</v>
      </c>
      <c r="J10" s="160">
        <v>40141.600000000006</v>
      </c>
      <c r="K10" s="160">
        <v>37216.400000000001</v>
      </c>
      <c r="L10" s="160">
        <v>42705.4</v>
      </c>
      <c r="M10" s="160">
        <v>42457</v>
      </c>
      <c r="N10" s="160">
        <v>45211.1</v>
      </c>
      <c r="O10" s="160">
        <v>50081.9</v>
      </c>
      <c r="P10" s="161">
        <v>497255.70000000007</v>
      </c>
    </row>
    <row r="11" spans="2:17" ht="15.6" x14ac:dyDescent="0.3">
      <c r="B11" s="158">
        <v>5</v>
      </c>
      <c r="C11" s="159" t="s">
        <v>232</v>
      </c>
      <c r="D11" s="160">
        <v>0</v>
      </c>
      <c r="E11" s="160">
        <v>0</v>
      </c>
      <c r="F11" s="160">
        <v>212</v>
      </c>
      <c r="G11" s="160">
        <v>239</v>
      </c>
      <c r="H11" s="160">
        <v>237</v>
      </c>
      <c r="I11" s="160">
        <v>241</v>
      </c>
      <c r="J11" s="160">
        <v>445</v>
      </c>
      <c r="K11" s="160">
        <v>713</v>
      </c>
      <c r="L11" s="160">
        <v>1044</v>
      </c>
      <c r="M11" s="160">
        <v>432</v>
      </c>
      <c r="N11" s="160">
        <v>689</v>
      </c>
      <c r="O11" s="160">
        <v>415</v>
      </c>
      <c r="P11" s="161">
        <v>4667</v>
      </c>
    </row>
    <row r="12" spans="2:17" ht="15.6" x14ac:dyDescent="0.3">
      <c r="B12" s="158">
        <v>6</v>
      </c>
      <c r="C12" s="159" t="s">
        <v>234</v>
      </c>
      <c r="D12" s="160">
        <v>14217.849999999999</v>
      </c>
      <c r="E12" s="160">
        <v>16876.541999999998</v>
      </c>
      <c r="F12" s="160">
        <v>14188.360999999995</v>
      </c>
      <c r="G12" s="160">
        <v>15812.825000000006</v>
      </c>
      <c r="H12" s="160">
        <v>18721.292000000001</v>
      </c>
      <c r="I12" s="160">
        <v>17385.884999999991</v>
      </c>
      <c r="J12" s="160">
        <v>19362.913000000004</v>
      </c>
      <c r="K12" s="160">
        <v>18834.788000000008</v>
      </c>
      <c r="L12" s="160">
        <v>17625.203999999994</v>
      </c>
      <c r="M12" s="160">
        <v>19604.622999999996</v>
      </c>
      <c r="N12" s="160">
        <v>20150.450000000015</v>
      </c>
      <c r="O12" s="160">
        <v>22182.239999999994</v>
      </c>
      <c r="P12" s="161">
        <v>214962.973</v>
      </c>
    </row>
    <row r="13" spans="2:17" ht="15.6" x14ac:dyDescent="0.3">
      <c r="B13" s="158">
        <v>7</v>
      </c>
      <c r="C13" s="159" t="s">
        <v>235</v>
      </c>
      <c r="D13" s="160">
        <v>2772.4800000000005</v>
      </c>
      <c r="E13" s="160">
        <v>5677.36</v>
      </c>
      <c r="F13" s="160">
        <v>5034.5199999999986</v>
      </c>
      <c r="G13" s="160">
        <v>5632.2400000000007</v>
      </c>
      <c r="H13" s="160">
        <v>4606.3599999999979</v>
      </c>
      <c r="I13" s="160">
        <v>3594.8000000000011</v>
      </c>
      <c r="J13" s="160">
        <v>3237.7999999999993</v>
      </c>
      <c r="K13" s="160">
        <v>3485.0000000000018</v>
      </c>
      <c r="L13" s="160">
        <v>4352.3999999999996</v>
      </c>
      <c r="M13" s="160">
        <v>3849</v>
      </c>
      <c r="N13" s="160">
        <v>4017</v>
      </c>
      <c r="O13" s="160">
        <v>4993</v>
      </c>
      <c r="P13" s="161">
        <v>51251.96</v>
      </c>
    </row>
    <row r="14" spans="2:17" ht="15.6" x14ac:dyDescent="0.3">
      <c r="B14" s="158">
        <v>8</v>
      </c>
      <c r="C14" s="159" t="s">
        <v>297</v>
      </c>
      <c r="D14" s="160">
        <v>1322</v>
      </c>
      <c r="E14" s="160">
        <v>1305</v>
      </c>
      <c r="F14" s="160">
        <v>1054</v>
      </c>
      <c r="G14" s="160">
        <v>1150</v>
      </c>
      <c r="H14" s="160">
        <v>1262</v>
      </c>
      <c r="I14" s="160">
        <v>1187</v>
      </c>
      <c r="J14" s="160">
        <v>1220</v>
      </c>
      <c r="K14" s="160">
        <v>1259</v>
      </c>
      <c r="L14" s="160">
        <v>1370</v>
      </c>
      <c r="M14" s="160">
        <v>1244</v>
      </c>
      <c r="N14" s="160">
        <v>1181</v>
      </c>
      <c r="O14" s="160">
        <v>1116</v>
      </c>
      <c r="P14" s="161">
        <v>14670</v>
      </c>
    </row>
    <row r="15" spans="2:17" ht="15.6" x14ac:dyDescent="0.3">
      <c r="B15" s="158">
        <v>9</v>
      </c>
      <c r="C15" s="163" t="s">
        <v>209</v>
      </c>
      <c r="D15" s="160">
        <v>3689.9999999999977</v>
      </c>
      <c r="E15" s="160">
        <v>3650.0000000000055</v>
      </c>
      <c r="F15" s="160">
        <v>3870.0000000000045</v>
      </c>
      <c r="G15" s="160">
        <v>4490.0000000000091</v>
      </c>
      <c r="H15" s="160">
        <v>3299.9999999999827</v>
      </c>
      <c r="I15" s="160">
        <v>4960.0000000000082</v>
      </c>
      <c r="J15" s="160">
        <v>5859.9999999999854</v>
      </c>
      <c r="K15" s="160">
        <v>5780.0000000000009</v>
      </c>
      <c r="L15" s="160">
        <v>5580.0000000000127</v>
      </c>
      <c r="M15" s="160">
        <v>5710.0000000000082</v>
      </c>
      <c r="N15" s="160">
        <v>5639.9999999999864</v>
      </c>
      <c r="O15" s="160">
        <v>6110.0000000000136</v>
      </c>
      <c r="P15" s="161">
        <v>58640.000000000015</v>
      </c>
    </row>
    <row r="16" spans="2:17" ht="15.6" x14ac:dyDescent="0.3">
      <c r="B16" s="164"/>
      <c r="C16" s="165" t="s">
        <v>394</v>
      </c>
      <c r="D16" s="166">
        <v>65253.241000000009</v>
      </c>
      <c r="E16" s="166">
        <v>75934.154999999999</v>
      </c>
      <c r="F16" s="166">
        <v>70009.678999999989</v>
      </c>
      <c r="G16" s="166">
        <v>72883.140000000014</v>
      </c>
      <c r="H16" s="166">
        <v>69656.443999999989</v>
      </c>
      <c r="I16" s="166">
        <v>67919.883000000016</v>
      </c>
      <c r="J16" s="166">
        <v>71210.312999999995</v>
      </c>
      <c r="K16" s="166">
        <v>68587.268000000011</v>
      </c>
      <c r="L16" s="166">
        <v>74206.314000000013</v>
      </c>
      <c r="M16" s="166">
        <v>75090.993000000017</v>
      </c>
      <c r="N16" s="166">
        <v>78439.16</v>
      </c>
      <c r="O16" s="166">
        <v>86488.38</v>
      </c>
      <c r="P16" s="166">
        <v>875678.97</v>
      </c>
      <c r="Q16" s="103"/>
    </row>
    <row r="17" spans="2:17" ht="15.6" x14ac:dyDescent="0.3">
      <c r="B17" s="158">
        <v>1</v>
      </c>
      <c r="C17" s="168" t="s">
        <v>309</v>
      </c>
      <c r="D17" s="160">
        <v>125220</v>
      </c>
      <c r="E17" s="160">
        <v>212820</v>
      </c>
      <c r="F17" s="160">
        <v>206520</v>
      </c>
      <c r="G17" s="160">
        <v>199770</v>
      </c>
      <c r="H17" s="160">
        <v>209430</v>
      </c>
      <c r="I17" s="160">
        <v>191730</v>
      </c>
      <c r="J17" s="160">
        <v>189150</v>
      </c>
      <c r="K17" s="160">
        <v>192450</v>
      </c>
      <c r="L17" s="160">
        <v>196620</v>
      </c>
      <c r="M17" s="160">
        <v>196500</v>
      </c>
      <c r="N17" s="160">
        <v>193770</v>
      </c>
      <c r="O17" s="160">
        <v>205980</v>
      </c>
      <c r="P17" s="161">
        <v>2319960</v>
      </c>
    </row>
    <row r="18" spans="2:17" ht="15.6" x14ac:dyDescent="0.3">
      <c r="B18" s="158">
        <v>2</v>
      </c>
      <c r="C18" s="168" t="s">
        <v>308</v>
      </c>
      <c r="D18" s="160">
        <v>102660</v>
      </c>
      <c r="E18" s="160">
        <v>122100</v>
      </c>
      <c r="F18" s="160">
        <v>103950</v>
      </c>
      <c r="G18" s="160">
        <v>97110</v>
      </c>
      <c r="H18" s="160">
        <v>101400</v>
      </c>
      <c r="I18" s="160">
        <v>104040</v>
      </c>
      <c r="J18" s="160">
        <v>110160</v>
      </c>
      <c r="K18" s="160">
        <v>107970</v>
      </c>
      <c r="L18" s="160">
        <v>104700</v>
      </c>
      <c r="M18" s="160">
        <v>108990</v>
      </c>
      <c r="N18" s="160">
        <v>103830</v>
      </c>
      <c r="O18" s="160">
        <v>112740</v>
      </c>
      <c r="P18" s="161">
        <v>1279650</v>
      </c>
    </row>
    <row r="19" spans="2:17" ht="15.6" x14ac:dyDescent="0.3">
      <c r="B19" s="158">
        <v>3</v>
      </c>
      <c r="C19" s="168" t="s">
        <v>512</v>
      </c>
      <c r="D19" s="160">
        <v>0</v>
      </c>
      <c r="E19" s="160">
        <v>0</v>
      </c>
      <c r="F19" s="160">
        <v>0</v>
      </c>
      <c r="G19" s="160">
        <v>0</v>
      </c>
      <c r="H19" s="160">
        <v>0</v>
      </c>
      <c r="I19" s="160">
        <v>0</v>
      </c>
      <c r="J19" s="160">
        <v>0</v>
      </c>
      <c r="K19" s="160">
        <v>0</v>
      </c>
      <c r="L19" s="160">
        <v>0</v>
      </c>
      <c r="M19" s="160">
        <v>0</v>
      </c>
      <c r="N19" s="160">
        <v>0</v>
      </c>
      <c r="O19" s="160">
        <v>0</v>
      </c>
      <c r="P19" s="161">
        <v>0</v>
      </c>
    </row>
    <row r="20" spans="2:17" ht="15.6" x14ac:dyDescent="0.3">
      <c r="B20" s="158">
        <v>4</v>
      </c>
      <c r="C20" s="169" t="s">
        <v>54</v>
      </c>
      <c r="D20" s="160">
        <v>0</v>
      </c>
      <c r="E20" s="160">
        <v>0</v>
      </c>
      <c r="F20" s="160">
        <v>0</v>
      </c>
      <c r="G20" s="160">
        <v>0</v>
      </c>
      <c r="H20" s="160">
        <v>0</v>
      </c>
      <c r="I20" s="160">
        <v>0</v>
      </c>
      <c r="J20" s="160">
        <v>0</v>
      </c>
      <c r="K20" s="160">
        <v>0</v>
      </c>
      <c r="L20" s="160">
        <v>0</v>
      </c>
      <c r="M20" s="160">
        <v>0</v>
      </c>
      <c r="N20" s="160">
        <v>0</v>
      </c>
      <c r="O20" s="160">
        <v>0</v>
      </c>
      <c r="P20" s="161">
        <v>0</v>
      </c>
    </row>
    <row r="21" spans="2:17" ht="15.6" x14ac:dyDescent="0.3">
      <c r="B21" s="164"/>
      <c r="C21" s="165" t="s">
        <v>393</v>
      </c>
      <c r="D21" s="166">
        <v>227880</v>
      </c>
      <c r="E21" s="166">
        <v>334920</v>
      </c>
      <c r="F21" s="166">
        <v>310470</v>
      </c>
      <c r="G21" s="166">
        <v>296880</v>
      </c>
      <c r="H21" s="166">
        <v>310830</v>
      </c>
      <c r="I21" s="166">
        <v>295770</v>
      </c>
      <c r="J21" s="166">
        <v>299310</v>
      </c>
      <c r="K21" s="166">
        <v>300420</v>
      </c>
      <c r="L21" s="166">
        <v>301320</v>
      </c>
      <c r="M21" s="166">
        <v>305490</v>
      </c>
      <c r="N21" s="166">
        <v>297600</v>
      </c>
      <c r="O21" s="166">
        <v>318720</v>
      </c>
      <c r="P21" s="167">
        <v>3599610</v>
      </c>
      <c r="Q21" s="103"/>
    </row>
    <row r="22" spans="2:17" ht="15.6" x14ac:dyDescent="0.3">
      <c r="B22" s="158"/>
      <c r="C22" s="163" t="s">
        <v>395</v>
      </c>
      <c r="D22" s="170">
        <v>2.9313324100000004</v>
      </c>
      <c r="E22" s="170">
        <v>4.10854155</v>
      </c>
      <c r="F22" s="170">
        <v>3.8047967900000002</v>
      </c>
      <c r="G22" s="170">
        <v>3.6976314000000001</v>
      </c>
      <c r="H22" s="170">
        <v>3.8048644400000002</v>
      </c>
      <c r="I22" s="170">
        <v>3.6368988300000002</v>
      </c>
      <c r="J22" s="170">
        <v>3.7052031299999997</v>
      </c>
      <c r="K22" s="170">
        <v>3.6900726800000005</v>
      </c>
      <c r="L22" s="170">
        <v>3.7552631400000003</v>
      </c>
      <c r="M22" s="170">
        <v>3.8058099300000001</v>
      </c>
      <c r="N22" s="170">
        <v>3.7603916000000002</v>
      </c>
      <c r="O22" s="170">
        <v>4.0520838000000001</v>
      </c>
      <c r="P22" s="171">
        <v>44.752889699999997</v>
      </c>
    </row>
    <row r="23" spans="2:17" ht="16.2" thickBot="1" x14ac:dyDescent="0.35">
      <c r="B23" s="172"/>
      <c r="C23" s="173" t="s">
        <v>211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5"/>
      <c r="P23" s="176">
        <v>46.354999999999997</v>
      </c>
    </row>
    <row r="28" spans="2:17" x14ac:dyDescent="0.25">
      <c r="B28" s="177"/>
      <c r="N28" s="178"/>
    </row>
    <row r="29" spans="2:17" x14ac:dyDescent="0.25">
      <c r="B29" s="177"/>
      <c r="N29" s="179"/>
    </row>
    <row r="34" spans="2:14" ht="14.4" x14ac:dyDescent="0.3">
      <c r="B34" s="180"/>
      <c r="C34" s="181"/>
      <c r="N34" s="182"/>
    </row>
    <row r="35" spans="2:14" ht="14.4" x14ac:dyDescent="0.3">
      <c r="B35" s="180"/>
      <c r="C35" s="183"/>
      <c r="N35" s="182"/>
    </row>
  </sheetData>
  <mergeCells count="3">
    <mergeCell ref="B2:P2"/>
    <mergeCell ref="B3:P3"/>
    <mergeCell ref="B4:N4"/>
  </mergeCells>
  <printOptions horizontalCentered="1" verticalCentered="1"/>
  <pageMargins left="0.25" right="0.25" top="0.75" bottom="0.75" header="0.3" footer="0.3"/>
  <pageSetup paperSize="9" scale="7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00000"/>
    <pageSetUpPr fitToPage="1"/>
  </sheetPr>
  <dimension ref="B1:Q33"/>
  <sheetViews>
    <sheetView view="pageBreakPreview" zoomScale="60" zoomScaleNormal="70" workbookViewId="0">
      <selection activeCell="A29" sqref="A29:XFD40"/>
    </sheetView>
  </sheetViews>
  <sheetFormatPr defaultColWidth="9.109375" defaultRowHeight="13.8" x14ac:dyDescent="0.25"/>
  <cols>
    <col min="1" max="2" width="9.109375" style="1"/>
    <col min="3" max="3" width="50" style="1" bestFit="1" customWidth="1"/>
    <col min="4" max="4" width="9.21875" style="1" bestFit="1" customWidth="1"/>
    <col min="5" max="15" width="10.6640625" style="1" bestFit="1" customWidth="1"/>
    <col min="16" max="16" width="11" style="1" customWidth="1"/>
    <col min="17" max="17" width="9.109375" style="1"/>
    <col min="18" max="18" width="12.6640625" style="1" customWidth="1"/>
    <col min="19" max="16384" width="9.109375" style="1"/>
  </cols>
  <sheetData>
    <row r="1" spans="2:17" ht="14.4" thickBot="1" x14ac:dyDescent="0.3"/>
    <row r="2" spans="2:17" ht="16.2" thickBot="1" x14ac:dyDescent="0.3">
      <c r="B2" s="1158" t="s">
        <v>546</v>
      </c>
      <c r="C2" s="1159"/>
      <c r="D2" s="1159"/>
      <c r="E2" s="1159"/>
      <c r="F2" s="1159"/>
      <c r="G2" s="1159"/>
      <c r="H2" s="1159"/>
      <c r="I2" s="1159"/>
      <c r="J2" s="1159"/>
      <c r="K2" s="1159"/>
      <c r="L2" s="1159"/>
      <c r="M2" s="1159"/>
      <c r="N2" s="1159"/>
      <c r="O2" s="1159"/>
      <c r="P2" s="1160"/>
    </row>
    <row r="3" spans="2:17" ht="16.2" thickBot="1" x14ac:dyDescent="0.35">
      <c r="B3" s="985" t="s">
        <v>382</v>
      </c>
      <c r="C3" s="986"/>
      <c r="D3" s="986"/>
      <c r="E3" s="986"/>
      <c r="F3" s="986"/>
      <c r="G3" s="986"/>
      <c r="H3" s="986"/>
      <c r="I3" s="986"/>
      <c r="J3" s="986"/>
      <c r="K3" s="986"/>
      <c r="L3" s="986"/>
      <c r="M3" s="986"/>
      <c r="N3" s="986"/>
      <c r="O3" s="986"/>
      <c r="P3" s="987"/>
    </row>
    <row r="4" spans="2:17" ht="15.6" x14ac:dyDescent="0.3">
      <c r="B4" s="1161" t="s">
        <v>479</v>
      </c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  <c r="N4" s="1162"/>
      <c r="O4" s="149"/>
      <c r="P4" s="150" t="s">
        <v>207</v>
      </c>
    </row>
    <row r="5" spans="2:17" ht="30.75" customHeight="1" x14ac:dyDescent="0.25">
      <c r="B5" s="151" t="s">
        <v>26</v>
      </c>
      <c r="C5" s="152" t="s">
        <v>143</v>
      </c>
      <c r="D5" s="152" t="s">
        <v>144</v>
      </c>
      <c r="E5" s="152" t="s">
        <v>145</v>
      </c>
      <c r="F5" s="152" t="s">
        <v>146</v>
      </c>
      <c r="G5" s="153" t="s">
        <v>147</v>
      </c>
      <c r="H5" s="153" t="s">
        <v>148</v>
      </c>
      <c r="I5" s="153" t="s">
        <v>149</v>
      </c>
      <c r="J5" s="153" t="s">
        <v>150</v>
      </c>
      <c r="K5" s="153" t="s">
        <v>151</v>
      </c>
      <c r="L5" s="153" t="s">
        <v>152</v>
      </c>
      <c r="M5" s="153" t="s">
        <v>153</v>
      </c>
      <c r="N5" s="153" t="s">
        <v>154</v>
      </c>
      <c r="O5" s="153" t="s">
        <v>155</v>
      </c>
      <c r="P5" s="154" t="s">
        <v>22</v>
      </c>
    </row>
    <row r="6" spans="2:17" ht="15.6" x14ac:dyDescent="0.25">
      <c r="B6" s="155">
        <v>1</v>
      </c>
      <c r="C6" s="156">
        <v>2</v>
      </c>
      <c r="D6" s="156">
        <v>3</v>
      </c>
      <c r="E6" s="156">
        <v>4</v>
      </c>
      <c r="F6" s="156">
        <v>5</v>
      </c>
      <c r="G6" s="156">
        <v>6</v>
      </c>
      <c r="H6" s="156">
        <v>7</v>
      </c>
      <c r="I6" s="156">
        <v>8</v>
      </c>
      <c r="J6" s="156">
        <v>9</v>
      </c>
      <c r="K6" s="156">
        <v>10</v>
      </c>
      <c r="L6" s="156">
        <v>11</v>
      </c>
      <c r="M6" s="156">
        <v>12</v>
      </c>
      <c r="N6" s="156">
        <v>13</v>
      </c>
      <c r="O6" s="156">
        <v>14</v>
      </c>
      <c r="P6" s="157">
        <v>15</v>
      </c>
    </row>
    <row r="7" spans="2:17" ht="15.6" x14ac:dyDescent="0.3">
      <c r="B7" s="158">
        <v>1</v>
      </c>
      <c r="C7" s="159" t="s">
        <v>226</v>
      </c>
      <c r="D7" s="160">
        <v>4511.2374999999847</v>
      </c>
      <c r="E7" s="160">
        <v>5012.8901000000224</v>
      </c>
      <c r="F7" s="160">
        <v>4429.3845999999767</v>
      </c>
      <c r="G7" s="160">
        <v>4679.0822000000298</v>
      </c>
      <c r="H7" s="160">
        <v>4784.1453999999703</v>
      </c>
      <c r="I7" s="160">
        <v>5079.572700000007</v>
      </c>
      <c r="J7" s="160">
        <v>5248.2425000000148</v>
      </c>
      <c r="K7" s="160">
        <v>4826.0698999999895</v>
      </c>
      <c r="L7" s="160">
        <v>4877.4652999999998</v>
      </c>
      <c r="M7" s="160">
        <v>5175.7442000000101</v>
      </c>
      <c r="N7" s="160">
        <v>5083.2922999999873</v>
      </c>
      <c r="O7" s="160">
        <v>5435.8526999999995</v>
      </c>
      <c r="P7" s="161">
        <v>59142.979399999982</v>
      </c>
    </row>
    <row r="8" spans="2:17" ht="15.6" x14ac:dyDescent="0.3">
      <c r="B8" s="158">
        <v>2</v>
      </c>
      <c r="C8" s="159" t="s">
        <v>227</v>
      </c>
      <c r="D8" s="160">
        <v>186.28100000000086</v>
      </c>
      <c r="E8" s="160">
        <v>215.40099999999984</v>
      </c>
      <c r="F8" s="160">
        <v>196.31700000000001</v>
      </c>
      <c r="G8" s="160">
        <v>203.89999999999964</v>
      </c>
      <c r="H8" s="160">
        <v>200.60100000000011</v>
      </c>
      <c r="I8" s="160">
        <v>202.10000000000036</v>
      </c>
      <c r="J8" s="160">
        <v>213.30099999999948</v>
      </c>
      <c r="K8" s="160">
        <v>218.0619999999997</v>
      </c>
      <c r="L8" s="160">
        <v>223.40400000000022</v>
      </c>
      <c r="M8" s="160">
        <v>230.10000000000036</v>
      </c>
      <c r="N8" s="160">
        <v>201.60000000000036</v>
      </c>
      <c r="O8" s="160">
        <v>199.57599999999974</v>
      </c>
      <c r="P8" s="161">
        <v>2490.6430000000005</v>
      </c>
    </row>
    <row r="9" spans="2:17" ht="15.6" x14ac:dyDescent="0.3">
      <c r="B9" s="158">
        <v>3</v>
      </c>
      <c r="C9" s="159" t="s">
        <v>228</v>
      </c>
      <c r="D9" s="160">
        <v>33273.650000000038</v>
      </c>
      <c r="E9" s="160">
        <v>36413.349999999977</v>
      </c>
      <c r="F9" s="160">
        <v>31335.299999999941</v>
      </c>
      <c r="G9" s="160">
        <v>29819.850000000039</v>
      </c>
      <c r="H9" s="160">
        <v>33850.050000000032</v>
      </c>
      <c r="I9" s="160">
        <v>29336.199999999921</v>
      </c>
      <c r="J9" s="160">
        <v>29536.550000000039</v>
      </c>
      <c r="K9" s="160">
        <v>29360.550000000021</v>
      </c>
      <c r="L9" s="160">
        <v>29142.039999999983</v>
      </c>
      <c r="M9" s="160">
        <v>29781.099999999984</v>
      </c>
      <c r="N9" s="160">
        <v>29519.599999999991</v>
      </c>
      <c r="O9" s="160">
        <v>32650.550000000083</v>
      </c>
      <c r="P9" s="161">
        <v>374018.79000000004</v>
      </c>
    </row>
    <row r="10" spans="2:17" ht="15.6" x14ac:dyDescent="0.3">
      <c r="B10" s="158">
        <v>4</v>
      </c>
      <c r="C10" s="159" t="s">
        <v>234</v>
      </c>
      <c r="D10" s="160">
        <v>0</v>
      </c>
      <c r="E10" s="160">
        <v>0</v>
      </c>
      <c r="F10" s="160">
        <v>0</v>
      </c>
      <c r="G10" s="160">
        <v>0</v>
      </c>
      <c r="H10" s="160">
        <v>67.006999999999948</v>
      </c>
      <c r="I10" s="160">
        <v>172.69400000000002</v>
      </c>
      <c r="J10" s="160">
        <v>171.21699999999998</v>
      </c>
      <c r="K10" s="160">
        <v>185.82100000000003</v>
      </c>
      <c r="L10" s="160">
        <v>181.72199999999998</v>
      </c>
      <c r="M10" s="160">
        <v>245.53200000000015</v>
      </c>
      <c r="N10" s="160">
        <v>236.30399999999986</v>
      </c>
      <c r="O10" s="160">
        <v>268.63400000000001</v>
      </c>
      <c r="P10" s="161">
        <v>1528.931</v>
      </c>
    </row>
    <row r="11" spans="2:17" ht="15.6" x14ac:dyDescent="0.3">
      <c r="B11" s="158">
        <v>5</v>
      </c>
      <c r="C11" s="159" t="s">
        <v>235</v>
      </c>
      <c r="D11" s="160">
        <v>3685.6999999999825</v>
      </c>
      <c r="E11" s="160">
        <v>3810.3000000000175</v>
      </c>
      <c r="F11" s="160">
        <v>3973.6999999999825</v>
      </c>
      <c r="G11" s="160">
        <v>4912.7000000000116</v>
      </c>
      <c r="H11" s="160">
        <v>4871.3999999999942</v>
      </c>
      <c r="I11" s="160">
        <v>4676.1000000000058</v>
      </c>
      <c r="J11" s="160">
        <v>4859.3999999999942</v>
      </c>
      <c r="K11" s="160">
        <v>4698.8999999999942</v>
      </c>
      <c r="L11" s="160">
        <v>4788</v>
      </c>
      <c r="M11" s="160">
        <v>4705</v>
      </c>
      <c r="N11" s="160">
        <v>4421.3000000000175</v>
      </c>
      <c r="O11" s="160">
        <v>4830</v>
      </c>
      <c r="P11" s="161">
        <v>54232.5</v>
      </c>
    </row>
    <row r="12" spans="2:17" ht="15.6" x14ac:dyDescent="0.3">
      <c r="B12" s="158">
        <v>6</v>
      </c>
      <c r="C12" s="159" t="s">
        <v>297</v>
      </c>
      <c r="D12" s="160">
        <v>753.89999999999964</v>
      </c>
      <c r="E12" s="160">
        <v>784.60000000000036</v>
      </c>
      <c r="F12" s="160">
        <v>723.19999999999982</v>
      </c>
      <c r="G12" s="160">
        <v>779.79999999999973</v>
      </c>
      <c r="H12" s="160">
        <v>776.59999999999991</v>
      </c>
      <c r="I12" s="160">
        <v>738</v>
      </c>
      <c r="J12" s="160">
        <v>561.20000000000073</v>
      </c>
      <c r="K12" s="160">
        <v>501.59999999999945</v>
      </c>
      <c r="L12" s="160">
        <v>541.39999999999964</v>
      </c>
      <c r="M12" s="160">
        <v>534.80000000000018</v>
      </c>
      <c r="N12" s="160">
        <v>496.60000000000036</v>
      </c>
      <c r="O12" s="160">
        <v>549.00000000000091</v>
      </c>
      <c r="P12" s="161">
        <v>7740.7000000000007</v>
      </c>
    </row>
    <row r="13" spans="2:17" ht="15.6" x14ac:dyDescent="0.3">
      <c r="B13" s="158">
        <v>7</v>
      </c>
      <c r="C13" s="159" t="s">
        <v>239</v>
      </c>
      <c r="D13" s="160">
        <v>1018.7000000000016</v>
      </c>
      <c r="E13" s="160">
        <v>1272.0999999999979</v>
      </c>
      <c r="F13" s="160">
        <v>1353.2999999999984</v>
      </c>
      <c r="G13" s="160">
        <v>1230.6000000000031</v>
      </c>
      <c r="H13" s="160">
        <v>1081.8999999999974</v>
      </c>
      <c r="I13" s="160">
        <v>1116.5999999999995</v>
      </c>
      <c r="J13" s="160">
        <v>1342.1000000000031</v>
      </c>
      <c r="K13" s="160">
        <v>1287.1999999999966</v>
      </c>
      <c r="L13" s="160">
        <v>1213.1000000000029</v>
      </c>
      <c r="M13" s="160">
        <v>1300.399999999996</v>
      </c>
      <c r="N13" s="160">
        <v>997.20000000000084</v>
      </c>
      <c r="O13" s="160">
        <v>1166.8000000000029</v>
      </c>
      <c r="P13" s="161">
        <v>14380</v>
      </c>
    </row>
    <row r="14" spans="2:17" ht="15.6" x14ac:dyDescent="0.3">
      <c r="B14" s="158">
        <v>8</v>
      </c>
      <c r="C14" s="163" t="s">
        <v>209</v>
      </c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1">
        <v>0</v>
      </c>
    </row>
    <row r="15" spans="2:17" ht="15.6" x14ac:dyDescent="0.3">
      <c r="B15" s="164"/>
      <c r="C15" s="165" t="s">
        <v>394</v>
      </c>
      <c r="D15" s="166">
        <v>43429.46850000001</v>
      </c>
      <c r="E15" s="166">
        <v>47508.641100000015</v>
      </c>
      <c r="F15" s="166">
        <v>42011.201599999891</v>
      </c>
      <c r="G15" s="166">
        <v>41625.93220000009</v>
      </c>
      <c r="H15" s="166">
        <v>45631.703399999991</v>
      </c>
      <c r="I15" s="166">
        <v>41321.266699999935</v>
      </c>
      <c r="J15" s="166">
        <v>41932.010500000048</v>
      </c>
      <c r="K15" s="166">
        <v>41078.202900000004</v>
      </c>
      <c r="L15" s="166">
        <v>40967.131299999994</v>
      </c>
      <c r="M15" s="166">
        <v>41972.676199999994</v>
      </c>
      <c r="N15" s="166">
        <v>40955.896299999993</v>
      </c>
      <c r="O15" s="166">
        <v>45100.412700000081</v>
      </c>
      <c r="P15" s="166">
        <v>513534.54340000002</v>
      </c>
      <c r="Q15" s="103"/>
    </row>
    <row r="16" spans="2:17" ht="15.6" x14ac:dyDescent="0.3">
      <c r="B16" s="158">
        <v>1</v>
      </c>
      <c r="C16" s="168" t="s">
        <v>309</v>
      </c>
      <c r="D16" s="160">
        <v>0</v>
      </c>
      <c r="E16" s="160">
        <v>0</v>
      </c>
      <c r="F16" s="160">
        <v>0</v>
      </c>
      <c r="G16" s="160">
        <v>0</v>
      </c>
      <c r="H16" s="160">
        <v>0</v>
      </c>
      <c r="I16" s="160">
        <v>0</v>
      </c>
      <c r="J16" s="160">
        <v>0</v>
      </c>
      <c r="K16" s="160">
        <v>0</v>
      </c>
      <c r="L16" s="160">
        <v>0</v>
      </c>
      <c r="M16" s="160">
        <v>0</v>
      </c>
      <c r="N16" s="160">
        <v>0</v>
      </c>
      <c r="O16" s="160">
        <v>0</v>
      </c>
      <c r="P16" s="161">
        <v>0</v>
      </c>
    </row>
    <row r="17" spans="2:16" ht="15.6" x14ac:dyDescent="0.3">
      <c r="B17" s="158">
        <v>2</v>
      </c>
      <c r="C17" s="168" t="s">
        <v>308</v>
      </c>
      <c r="D17" s="160">
        <v>0</v>
      </c>
      <c r="E17" s="160">
        <v>0</v>
      </c>
      <c r="F17" s="160">
        <v>0</v>
      </c>
      <c r="G17" s="160">
        <v>0</v>
      </c>
      <c r="H17" s="160">
        <v>0</v>
      </c>
      <c r="I17" s="160">
        <v>0</v>
      </c>
      <c r="J17" s="160">
        <v>0</v>
      </c>
      <c r="K17" s="160">
        <v>0</v>
      </c>
      <c r="L17" s="160">
        <v>0</v>
      </c>
      <c r="M17" s="160">
        <v>0</v>
      </c>
      <c r="N17" s="160">
        <v>0</v>
      </c>
      <c r="O17" s="160">
        <v>0</v>
      </c>
      <c r="P17" s="161">
        <v>0</v>
      </c>
    </row>
    <row r="18" spans="2:16" ht="15.6" x14ac:dyDescent="0.3">
      <c r="B18" s="158">
        <v>3</v>
      </c>
      <c r="C18" s="169" t="s">
        <v>54</v>
      </c>
      <c r="D18" s="160">
        <v>0</v>
      </c>
      <c r="E18" s="160">
        <v>0</v>
      </c>
      <c r="F18" s="160">
        <v>0</v>
      </c>
      <c r="G18" s="160">
        <v>0</v>
      </c>
      <c r="H18" s="160">
        <v>0</v>
      </c>
      <c r="I18" s="160">
        <v>0</v>
      </c>
      <c r="J18" s="160">
        <v>0</v>
      </c>
      <c r="K18" s="160">
        <v>0</v>
      </c>
      <c r="L18" s="160">
        <v>0</v>
      </c>
      <c r="M18" s="160">
        <v>0</v>
      </c>
      <c r="N18" s="160">
        <v>0</v>
      </c>
      <c r="O18" s="160">
        <v>0</v>
      </c>
      <c r="P18" s="161">
        <v>0</v>
      </c>
    </row>
    <row r="19" spans="2:16" ht="15.6" x14ac:dyDescent="0.3">
      <c r="B19" s="164"/>
      <c r="C19" s="165" t="s">
        <v>393</v>
      </c>
      <c r="D19" s="166">
        <v>0</v>
      </c>
      <c r="E19" s="166">
        <v>0</v>
      </c>
      <c r="F19" s="166">
        <v>0</v>
      </c>
      <c r="G19" s="166">
        <v>0</v>
      </c>
      <c r="H19" s="166">
        <v>0</v>
      </c>
      <c r="I19" s="166">
        <v>0</v>
      </c>
      <c r="J19" s="166">
        <v>0</v>
      </c>
      <c r="K19" s="166">
        <v>0</v>
      </c>
      <c r="L19" s="166">
        <v>0</v>
      </c>
      <c r="M19" s="166">
        <v>0</v>
      </c>
      <c r="N19" s="166">
        <v>0</v>
      </c>
      <c r="O19" s="166">
        <v>0</v>
      </c>
      <c r="P19" s="167">
        <v>0</v>
      </c>
    </row>
    <row r="20" spans="2:16" ht="15.6" x14ac:dyDescent="0.3">
      <c r="B20" s="158"/>
      <c r="C20" s="163" t="s">
        <v>395</v>
      </c>
      <c r="D20" s="170">
        <v>0.43429468500000012</v>
      </c>
      <c r="E20" s="170">
        <v>0.47508641100000015</v>
      </c>
      <c r="F20" s="170">
        <v>0.42011201599999892</v>
      </c>
      <c r="G20" s="170">
        <v>0.41625932200000088</v>
      </c>
      <c r="H20" s="170">
        <v>0.4563170339999999</v>
      </c>
      <c r="I20" s="170">
        <v>0.41321266699999937</v>
      </c>
      <c r="J20" s="170">
        <v>0.4193201050000005</v>
      </c>
      <c r="K20" s="170">
        <v>0.41078202900000005</v>
      </c>
      <c r="L20" s="170">
        <v>0.40967131299999993</v>
      </c>
      <c r="M20" s="170">
        <v>0.41972676199999992</v>
      </c>
      <c r="N20" s="170">
        <v>0.40955896299999994</v>
      </c>
      <c r="O20" s="170">
        <v>0.45100412700000081</v>
      </c>
      <c r="P20" s="171">
        <v>5.1353454340000004</v>
      </c>
    </row>
    <row r="21" spans="2:16" ht="16.2" thickBot="1" x14ac:dyDescent="0.35">
      <c r="B21" s="172"/>
      <c r="C21" s="173" t="s">
        <v>211</v>
      </c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5"/>
      <c r="P21" s="176">
        <v>5.5407900000000003</v>
      </c>
    </row>
    <row r="26" spans="2:16" x14ac:dyDescent="0.25">
      <c r="B26" s="177"/>
      <c r="N26" s="178"/>
    </row>
    <row r="27" spans="2:16" x14ac:dyDescent="0.25">
      <c r="B27" s="177"/>
      <c r="N27" s="179"/>
    </row>
    <row r="32" spans="2:16" ht="14.4" x14ac:dyDescent="0.3">
      <c r="B32" s="180"/>
      <c r="C32" s="181"/>
      <c r="N32" s="182"/>
    </row>
    <row r="33" spans="2:14" ht="14.4" x14ac:dyDescent="0.3">
      <c r="B33" s="180"/>
      <c r="C33" s="183"/>
      <c r="N33" s="182"/>
    </row>
  </sheetData>
  <mergeCells count="3">
    <mergeCell ref="B2:P2"/>
    <mergeCell ref="B3:P3"/>
    <mergeCell ref="B4:N4"/>
  </mergeCells>
  <printOptions horizontalCentered="1" verticalCentered="1"/>
  <pageMargins left="0.25" right="0.25" top="0.75" bottom="0.75" header="0.3" footer="0.3"/>
  <pageSetup paperSize="9" scale="7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C00000"/>
    <pageSetUpPr fitToPage="1"/>
  </sheetPr>
  <dimension ref="B1:N46"/>
  <sheetViews>
    <sheetView view="pageBreakPreview" zoomScale="60" zoomScaleNormal="70" workbookViewId="0">
      <selection activeCell="K23" sqref="K23"/>
    </sheetView>
  </sheetViews>
  <sheetFormatPr defaultColWidth="9.109375" defaultRowHeight="15.6" x14ac:dyDescent="0.3"/>
  <cols>
    <col min="1" max="1" width="9.109375" style="149"/>
    <col min="2" max="2" width="7" style="149" bestFit="1" customWidth="1"/>
    <col min="3" max="3" width="40.77734375" style="149" customWidth="1"/>
    <col min="4" max="4" width="18" style="149" bestFit="1" customWidth="1"/>
    <col min="5" max="5" width="19.21875" style="149" bestFit="1" customWidth="1"/>
    <col min="6" max="6" width="18" style="149" bestFit="1" customWidth="1"/>
    <col min="7" max="7" width="19.21875" style="149" bestFit="1" customWidth="1"/>
    <col min="8" max="8" width="15.21875" style="149" bestFit="1" customWidth="1"/>
    <col min="9" max="9" width="13.88671875" style="149" customWidth="1"/>
    <col min="10" max="10" width="17.77734375" style="149" customWidth="1"/>
    <col min="11" max="11" width="14.33203125" style="149" bestFit="1" customWidth="1"/>
    <col min="12" max="16384" width="9.109375" style="149"/>
  </cols>
  <sheetData>
    <row r="1" spans="2:14" ht="16.2" thickBot="1" x14ac:dyDescent="0.35">
      <c r="B1" s="1168"/>
      <c r="C1" s="1168"/>
      <c r="D1" s="1168"/>
      <c r="E1" s="1168"/>
      <c r="F1" s="1168"/>
      <c r="G1" s="1168"/>
      <c r="H1" s="1168"/>
      <c r="I1" s="1168"/>
      <c r="J1" s="204"/>
      <c r="K1" s="204"/>
      <c r="L1" s="204"/>
      <c r="M1" s="204"/>
      <c r="N1" s="204"/>
    </row>
    <row r="2" spans="2:14" ht="18.600000000000001" thickBot="1" x14ac:dyDescent="0.35">
      <c r="B2" s="1169" t="s">
        <v>547</v>
      </c>
      <c r="C2" s="1170"/>
      <c r="D2" s="1170"/>
      <c r="E2" s="1170"/>
      <c r="F2" s="1170"/>
      <c r="G2" s="1170"/>
      <c r="H2" s="1170"/>
      <c r="I2" s="1171"/>
    </row>
    <row r="3" spans="2:14" ht="16.5" customHeight="1" thickBot="1" x14ac:dyDescent="0.35">
      <c r="B3" s="1163" t="s">
        <v>210</v>
      </c>
      <c r="C3" s="1164"/>
      <c r="D3" s="1164"/>
      <c r="E3" s="1164"/>
      <c r="F3" s="1164"/>
      <c r="G3" s="1164"/>
      <c r="H3" s="1164"/>
      <c r="I3" s="1165"/>
    </row>
    <row r="4" spans="2:14" ht="17.399999999999999" customHeight="1" thickBot="1" x14ac:dyDescent="0.35">
      <c r="B4" s="1166" t="s">
        <v>204</v>
      </c>
      <c r="C4" s="1167"/>
      <c r="D4" s="1167"/>
      <c r="E4" s="1167"/>
      <c r="F4" s="1167"/>
      <c r="G4" s="1167"/>
      <c r="H4" s="1167"/>
      <c r="I4" s="150" t="s">
        <v>270</v>
      </c>
    </row>
    <row r="5" spans="2:14" x14ac:dyDescent="0.3">
      <c r="B5" s="205" t="s">
        <v>300</v>
      </c>
      <c r="C5" s="206" t="s">
        <v>1</v>
      </c>
      <c r="D5" s="207" t="s">
        <v>244</v>
      </c>
      <c r="E5" s="207" t="s">
        <v>245</v>
      </c>
      <c r="F5" s="207" t="s">
        <v>246</v>
      </c>
      <c r="G5" s="207" t="s">
        <v>247</v>
      </c>
      <c r="H5" s="207" t="s">
        <v>248</v>
      </c>
      <c r="I5" s="208" t="s">
        <v>2</v>
      </c>
    </row>
    <row r="6" spans="2:14" s="213" customFormat="1" ht="16.2" thickBot="1" x14ac:dyDescent="0.35">
      <c r="B6" s="209">
        <v>1</v>
      </c>
      <c r="C6" s="210">
        <v>2</v>
      </c>
      <c r="D6" s="211">
        <v>3</v>
      </c>
      <c r="E6" s="210">
        <v>4</v>
      </c>
      <c r="F6" s="210">
        <v>5</v>
      </c>
      <c r="G6" s="210" t="s">
        <v>249</v>
      </c>
      <c r="H6" s="210" t="s">
        <v>250</v>
      </c>
      <c r="I6" s="212">
        <v>8</v>
      </c>
    </row>
    <row r="7" spans="2:14" s="215" customFormat="1" x14ac:dyDescent="0.3">
      <c r="B7" s="553">
        <v>1</v>
      </c>
      <c r="C7" s="565" t="s">
        <v>251</v>
      </c>
      <c r="D7" s="214">
        <v>39559659.400000006</v>
      </c>
      <c r="E7" s="214">
        <v>298888733.70053232</v>
      </c>
      <c r="F7" s="214">
        <v>63985605.560000002</v>
      </c>
      <c r="G7" s="214">
        <v>274462787.54053229</v>
      </c>
      <c r="H7" s="554">
        <v>91.827746112212679</v>
      </c>
      <c r="I7" s="555"/>
      <c r="J7" s="658"/>
    </row>
    <row r="8" spans="2:14" s="215" customFormat="1" x14ac:dyDescent="0.3">
      <c r="B8" s="556">
        <v>2</v>
      </c>
      <c r="C8" s="566" t="s">
        <v>252</v>
      </c>
      <c r="D8" s="214">
        <v>1613185</v>
      </c>
      <c r="E8" s="214">
        <v>24061922.189666286</v>
      </c>
      <c r="F8" s="214">
        <v>3983517</v>
      </c>
      <c r="G8" s="214">
        <v>21691590.189666286</v>
      </c>
      <c r="H8" s="557">
        <v>90.149033060135281</v>
      </c>
      <c r="I8" s="558"/>
      <c r="J8" s="658"/>
    </row>
    <row r="9" spans="2:14" s="215" customFormat="1" x14ac:dyDescent="0.3">
      <c r="B9" s="556">
        <v>3</v>
      </c>
      <c r="C9" s="566" t="s">
        <v>451</v>
      </c>
      <c r="D9" s="214">
        <v>2023936.5</v>
      </c>
      <c r="E9" s="214">
        <v>8536409.3540164568</v>
      </c>
      <c r="F9" s="214">
        <v>1250205.5</v>
      </c>
      <c r="G9" s="214">
        <v>9310140.3540164568</v>
      </c>
      <c r="H9" s="557">
        <v>109.06389288414282</v>
      </c>
      <c r="I9" s="558"/>
      <c r="J9" s="658"/>
    </row>
    <row r="10" spans="2:14" s="215" customFormat="1" x14ac:dyDescent="0.3">
      <c r="B10" s="556">
        <v>4</v>
      </c>
      <c r="C10" s="566" t="s">
        <v>253</v>
      </c>
      <c r="D10" s="214">
        <v>471027</v>
      </c>
      <c r="E10" s="214">
        <v>4372884.8962346986</v>
      </c>
      <c r="F10" s="214">
        <v>508187</v>
      </c>
      <c r="G10" s="214">
        <v>4335724.8962346986</v>
      </c>
      <c r="H10" s="656">
        <v>99.150217742250732</v>
      </c>
      <c r="I10" s="558"/>
      <c r="J10" s="658"/>
    </row>
    <row r="11" spans="2:14" s="215" customFormat="1" x14ac:dyDescent="0.3">
      <c r="B11" s="559"/>
      <c r="C11" s="567" t="s">
        <v>264</v>
      </c>
      <c r="D11" s="560">
        <v>43667807.900000006</v>
      </c>
      <c r="E11" s="560">
        <v>335859950.14044976</v>
      </c>
      <c r="F11" s="560">
        <v>69727515.060000002</v>
      </c>
      <c r="G11" s="560">
        <v>309800242.98044974</v>
      </c>
      <c r="H11" s="561">
        <v>92.240900664368468</v>
      </c>
      <c r="I11" s="562"/>
      <c r="J11" s="658"/>
    </row>
    <row r="12" spans="2:14" s="215" customFormat="1" x14ac:dyDescent="0.3">
      <c r="B12" s="556">
        <v>1</v>
      </c>
      <c r="C12" s="566" t="s">
        <v>293</v>
      </c>
      <c r="D12" s="214">
        <v>0</v>
      </c>
      <c r="E12" s="214">
        <v>142835.63400000005</v>
      </c>
      <c r="F12" s="214">
        <v>0</v>
      </c>
      <c r="G12" s="214">
        <v>142835.63400000005</v>
      </c>
      <c r="H12" s="557">
        <v>100</v>
      </c>
      <c r="I12" s="558"/>
      <c r="J12" s="658"/>
    </row>
    <row r="13" spans="2:14" s="215" customFormat="1" x14ac:dyDescent="0.3">
      <c r="B13" s="556">
        <v>1</v>
      </c>
      <c r="C13" s="566" t="s">
        <v>254</v>
      </c>
      <c r="D13" s="214">
        <v>0</v>
      </c>
      <c r="E13" s="214">
        <v>415198.98125756637</v>
      </c>
      <c r="F13" s="214">
        <v>0</v>
      </c>
      <c r="G13" s="214">
        <v>415198.98125756637</v>
      </c>
      <c r="H13" s="557">
        <v>100</v>
      </c>
      <c r="I13" s="558"/>
      <c r="J13" s="658"/>
    </row>
    <row r="14" spans="2:14" s="215" customFormat="1" x14ac:dyDescent="0.3">
      <c r="B14" s="556">
        <v>2</v>
      </c>
      <c r="C14" s="566" t="s">
        <v>255</v>
      </c>
      <c r="D14" s="214">
        <v>0</v>
      </c>
      <c r="E14" s="214">
        <v>2984126.5045428877</v>
      </c>
      <c r="F14" s="214">
        <v>0</v>
      </c>
      <c r="G14" s="214">
        <v>2984126.5045428877</v>
      </c>
      <c r="H14" s="557">
        <v>100</v>
      </c>
      <c r="I14" s="558"/>
      <c r="J14" s="658"/>
    </row>
    <row r="15" spans="2:14" s="215" customFormat="1" x14ac:dyDescent="0.3">
      <c r="B15" s="556">
        <v>3</v>
      </c>
      <c r="C15" s="566" t="s">
        <v>256</v>
      </c>
      <c r="D15" s="214">
        <v>928212.1</v>
      </c>
      <c r="E15" s="214">
        <v>8129472.1512666671</v>
      </c>
      <c r="F15" s="214">
        <v>1040912.74</v>
      </c>
      <c r="G15" s="214">
        <v>8016771.5112666674</v>
      </c>
      <c r="H15" s="557">
        <v>98.613678257296939</v>
      </c>
      <c r="I15" s="558"/>
    </row>
    <row r="16" spans="2:14" s="215" customFormat="1" ht="18.75" customHeight="1" x14ac:dyDescent="0.3">
      <c r="B16" s="556">
        <v>4</v>
      </c>
      <c r="C16" s="566" t="s">
        <v>257</v>
      </c>
      <c r="D16" s="214">
        <v>2012550.75</v>
      </c>
      <c r="E16" s="214">
        <v>7085432.2445</v>
      </c>
      <c r="F16" s="214">
        <v>1453082</v>
      </c>
      <c r="G16" s="214">
        <v>7644900.9945</v>
      </c>
      <c r="H16" s="557">
        <v>107.89604262230131</v>
      </c>
      <c r="I16" s="558"/>
    </row>
    <row r="17" spans="2:9" s="215" customFormat="1" x14ac:dyDescent="0.3">
      <c r="B17" s="556">
        <v>5</v>
      </c>
      <c r="C17" s="566" t="s">
        <v>258</v>
      </c>
      <c r="D17" s="214">
        <v>24294435.839999992</v>
      </c>
      <c r="E17" s="214">
        <v>250618688.86355138</v>
      </c>
      <c r="F17" s="214">
        <v>25675039.280000001</v>
      </c>
      <c r="G17" s="214">
        <v>249238085.42355135</v>
      </c>
      <c r="H17" s="557">
        <v>99.449121912551504</v>
      </c>
      <c r="I17" s="558"/>
    </row>
    <row r="18" spans="2:9" s="215" customFormat="1" x14ac:dyDescent="0.3">
      <c r="B18" s="556">
        <v>6</v>
      </c>
      <c r="C18" s="566" t="s">
        <v>259</v>
      </c>
      <c r="D18" s="214">
        <v>54014</v>
      </c>
      <c r="E18" s="214">
        <v>308330.20000000007</v>
      </c>
      <c r="F18" s="214">
        <v>21079</v>
      </c>
      <c r="G18" s="214">
        <v>341265.20000000007</v>
      </c>
      <c r="H18" s="557">
        <v>110.68173017109579</v>
      </c>
      <c r="I18" s="558"/>
    </row>
    <row r="19" spans="2:9" s="215" customFormat="1" x14ac:dyDescent="0.3">
      <c r="B19" s="556">
        <v>7</v>
      </c>
      <c r="C19" s="566" t="s">
        <v>260</v>
      </c>
      <c r="D19" s="214">
        <v>115141</v>
      </c>
      <c r="E19" s="214">
        <v>667329.62999999989</v>
      </c>
      <c r="F19" s="214">
        <v>512513</v>
      </c>
      <c r="G19" s="214">
        <v>269957.62999999989</v>
      </c>
      <c r="H19" s="557">
        <v>40.453415802921853</v>
      </c>
      <c r="I19" s="558"/>
    </row>
    <row r="20" spans="2:9" s="215" customFormat="1" x14ac:dyDescent="0.3">
      <c r="B20" s="556">
        <v>8</v>
      </c>
      <c r="C20" s="566" t="s">
        <v>261</v>
      </c>
      <c r="D20" s="214">
        <v>407828.3</v>
      </c>
      <c r="E20" s="214">
        <v>2679252.3360000001</v>
      </c>
      <c r="F20" s="214">
        <v>443535.3</v>
      </c>
      <c r="G20" s="214">
        <v>2643545.3360000001</v>
      </c>
      <c r="H20" s="557">
        <v>98.667277451988383</v>
      </c>
      <c r="I20" s="558"/>
    </row>
    <row r="21" spans="2:9" s="215" customFormat="1" x14ac:dyDescent="0.3">
      <c r="B21" s="556">
        <v>9</v>
      </c>
      <c r="C21" s="566" t="s">
        <v>232</v>
      </c>
      <c r="D21" s="214">
        <v>1253826.1000000001</v>
      </c>
      <c r="E21" s="214">
        <v>752444.09849999985</v>
      </c>
      <c r="F21" s="214">
        <v>1533936.9</v>
      </c>
      <c r="G21" s="214">
        <v>472333.29850000003</v>
      </c>
      <c r="H21" s="656">
        <v>62.773207928881128</v>
      </c>
      <c r="I21" s="558"/>
    </row>
    <row r="22" spans="2:9" s="215" customFormat="1" x14ac:dyDescent="0.3">
      <c r="B22" s="556">
        <v>10</v>
      </c>
      <c r="C22" s="566" t="s">
        <v>262</v>
      </c>
      <c r="D22" s="214">
        <v>3119059.6399999997</v>
      </c>
      <c r="E22" s="214">
        <v>46485942.61265</v>
      </c>
      <c r="F22" s="214">
        <v>5582582.1900000004</v>
      </c>
      <c r="G22" s="214">
        <v>44022420.062650003</v>
      </c>
      <c r="H22" s="656">
        <v>94.700499954303154</v>
      </c>
      <c r="I22" s="558"/>
    </row>
    <row r="23" spans="2:9" s="215" customFormat="1" x14ac:dyDescent="0.3">
      <c r="B23" s="556">
        <v>11</v>
      </c>
      <c r="C23" s="566" t="s">
        <v>233</v>
      </c>
      <c r="D23" s="214">
        <v>942428</v>
      </c>
      <c r="E23" s="214">
        <v>520357.37300000002</v>
      </c>
      <c r="F23" s="214">
        <v>908271</v>
      </c>
      <c r="G23" s="214">
        <v>554514.37300000014</v>
      </c>
      <c r="H23" s="656">
        <v>106.56414260128109</v>
      </c>
      <c r="I23" s="558"/>
    </row>
    <row r="24" spans="2:9" s="215" customFormat="1" x14ac:dyDescent="0.3">
      <c r="B24" s="556">
        <v>12</v>
      </c>
      <c r="C24" s="566" t="s">
        <v>235</v>
      </c>
      <c r="D24" s="214">
        <v>2432870.5599999996</v>
      </c>
      <c r="E24" s="214">
        <v>6146264.3384999996</v>
      </c>
      <c r="F24" s="214">
        <v>2619158.5599999996</v>
      </c>
      <c r="G24" s="214">
        <v>5959976.3384999996</v>
      </c>
      <c r="H24" s="656">
        <v>96.969085777305438</v>
      </c>
      <c r="I24" s="558"/>
    </row>
    <row r="25" spans="2:9" s="215" customFormat="1" x14ac:dyDescent="0.3">
      <c r="B25" s="556">
        <v>13</v>
      </c>
      <c r="C25" s="566" t="s">
        <v>263</v>
      </c>
      <c r="D25" s="214">
        <v>11762</v>
      </c>
      <c r="E25" s="214">
        <v>27757.100000000002</v>
      </c>
      <c r="F25" s="214">
        <v>6893</v>
      </c>
      <c r="G25" s="214">
        <v>32626.100000000006</v>
      </c>
      <c r="H25" s="656">
        <v>117.54145786123192</v>
      </c>
      <c r="I25" s="558"/>
    </row>
    <row r="26" spans="2:9" s="215" customFormat="1" x14ac:dyDescent="0.3">
      <c r="B26" s="556">
        <v>14</v>
      </c>
      <c r="C26" s="566" t="s">
        <v>294</v>
      </c>
      <c r="D26" s="214">
        <v>0</v>
      </c>
      <c r="E26" s="214">
        <v>57420</v>
      </c>
      <c r="F26" s="214">
        <v>0</v>
      </c>
      <c r="G26" s="214">
        <v>57420</v>
      </c>
      <c r="H26" s="557">
        <v>100</v>
      </c>
      <c r="I26" s="558"/>
    </row>
    <row r="27" spans="2:9" s="215" customFormat="1" x14ac:dyDescent="0.3">
      <c r="B27" s="556">
        <v>15</v>
      </c>
      <c r="C27" s="566" t="s">
        <v>453</v>
      </c>
      <c r="D27" s="214">
        <v>1772</v>
      </c>
      <c r="E27" s="214">
        <v>84912.5</v>
      </c>
      <c r="F27" s="214">
        <v>1210</v>
      </c>
      <c r="G27" s="214">
        <v>85474.5</v>
      </c>
      <c r="H27" s="557">
        <v>100.66185779478876</v>
      </c>
      <c r="I27" s="558"/>
    </row>
    <row r="28" spans="2:9" s="215" customFormat="1" x14ac:dyDescent="0.3">
      <c r="B28" s="559"/>
      <c r="C28" s="567" t="s">
        <v>265</v>
      </c>
      <c r="D28" s="216">
        <v>35573900.289999999</v>
      </c>
      <c r="E28" s="216">
        <v>327105764.56776857</v>
      </c>
      <c r="F28" s="216">
        <v>39798212.970000006</v>
      </c>
      <c r="G28" s="216">
        <v>322881451.88776857</v>
      </c>
      <c r="H28" s="561">
        <v>98.708578955928232</v>
      </c>
      <c r="I28" s="562"/>
    </row>
    <row r="29" spans="2:9" s="215" customFormat="1" x14ac:dyDescent="0.3">
      <c r="B29" s="556">
        <v>1</v>
      </c>
      <c r="C29" s="566" t="s">
        <v>435</v>
      </c>
      <c r="D29" s="217">
        <v>0</v>
      </c>
      <c r="E29" s="217">
        <v>3065672</v>
      </c>
      <c r="F29" s="217">
        <v>0</v>
      </c>
      <c r="G29" s="214">
        <v>3065672</v>
      </c>
      <c r="H29" s="557">
        <v>100</v>
      </c>
      <c r="I29" s="558"/>
    </row>
    <row r="30" spans="2:9" s="215" customFormat="1" x14ac:dyDescent="0.3">
      <c r="B30" s="556">
        <v>2</v>
      </c>
      <c r="C30" s="566" t="s">
        <v>240</v>
      </c>
      <c r="D30" s="217">
        <v>0</v>
      </c>
      <c r="E30" s="217">
        <v>686498.16000000027</v>
      </c>
      <c r="F30" s="217">
        <v>0</v>
      </c>
      <c r="G30" s="214">
        <v>686498.16000000027</v>
      </c>
      <c r="H30" s="557">
        <v>100</v>
      </c>
      <c r="I30" s="558"/>
    </row>
    <row r="31" spans="2:9" s="215" customFormat="1" ht="31.2" x14ac:dyDescent="0.3">
      <c r="B31" s="556">
        <v>3</v>
      </c>
      <c r="C31" s="566" t="s">
        <v>569</v>
      </c>
      <c r="D31" s="217">
        <v>0</v>
      </c>
      <c r="E31" s="217">
        <v>170440.13499999998</v>
      </c>
      <c r="F31" s="217">
        <v>0</v>
      </c>
      <c r="G31" s="214">
        <v>170440.13499999998</v>
      </c>
      <c r="H31" s="557">
        <v>100</v>
      </c>
      <c r="I31" s="558"/>
    </row>
    <row r="32" spans="2:9" s="215" customFormat="1" x14ac:dyDescent="0.3">
      <c r="B32" s="559"/>
      <c r="C32" s="567" t="s">
        <v>266</v>
      </c>
      <c r="D32" s="216">
        <v>0</v>
      </c>
      <c r="E32" s="216">
        <v>3922610.2949999999</v>
      </c>
      <c r="F32" s="216">
        <v>0</v>
      </c>
      <c r="G32" s="216">
        <v>3922610.2949999999</v>
      </c>
      <c r="H32" s="561">
        <v>100</v>
      </c>
      <c r="I32" s="562"/>
    </row>
    <row r="33" spans="2:13" ht="16.2" thickBot="1" x14ac:dyDescent="0.35">
      <c r="B33" s="568"/>
      <c r="C33" s="569" t="s">
        <v>267</v>
      </c>
      <c r="D33" s="563">
        <v>79241708.189999998</v>
      </c>
      <c r="E33" s="563">
        <v>666888325.00321841</v>
      </c>
      <c r="F33" s="563">
        <v>109525728.03</v>
      </c>
      <c r="G33" s="563">
        <v>636604305.16321826</v>
      </c>
      <c r="H33" s="563">
        <v>95.458906880720392</v>
      </c>
      <c r="I33" s="564"/>
      <c r="J33" s="218"/>
      <c r="K33" s="219"/>
    </row>
    <row r="34" spans="2:13" x14ac:dyDescent="0.3">
      <c r="E34" s="219"/>
    </row>
    <row r="39" spans="2:13" x14ac:dyDescent="0.3">
      <c r="B39" s="177"/>
      <c r="C39" s="1"/>
      <c r="D39" s="1"/>
      <c r="E39" s="1"/>
      <c r="F39" s="1"/>
      <c r="G39" s="1"/>
      <c r="H39" s="1"/>
      <c r="I39" s="178"/>
      <c r="J39" s="1"/>
      <c r="K39" s="1"/>
      <c r="L39" s="1"/>
      <c r="M39" s="1"/>
    </row>
    <row r="40" spans="2:13" x14ac:dyDescent="0.3">
      <c r="B40" s="177"/>
      <c r="C40" s="1"/>
      <c r="D40" s="1"/>
      <c r="E40" s="1"/>
      <c r="F40" s="1"/>
      <c r="G40" s="1"/>
      <c r="H40" s="1"/>
      <c r="I40" s="179"/>
      <c r="J40" s="1"/>
      <c r="K40" s="1"/>
      <c r="L40" s="1"/>
      <c r="M40" s="1"/>
    </row>
    <row r="41" spans="2:1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3">
      <c r="B45" s="180"/>
      <c r="C45" s="181"/>
      <c r="D45" s="1"/>
      <c r="E45" s="1"/>
      <c r="F45" s="1"/>
      <c r="G45" s="1"/>
      <c r="H45" s="1"/>
      <c r="I45" s="182"/>
      <c r="J45" s="1"/>
      <c r="K45" s="1"/>
      <c r="L45" s="1"/>
      <c r="M45" s="1"/>
    </row>
    <row r="46" spans="2:13" x14ac:dyDescent="0.3">
      <c r="B46" s="180"/>
      <c r="C46" s="183"/>
      <c r="D46" s="1"/>
      <c r="E46" s="1"/>
      <c r="F46" s="1"/>
      <c r="G46" s="1"/>
      <c r="H46" s="1"/>
      <c r="I46" s="182"/>
      <c r="J46" s="1"/>
      <c r="K46" s="1"/>
      <c r="L46" s="1"/>
      <c r="M46" s="1"/>
    </row>
  </sheetData>
  <mergeCells count="4">
    <mergeCell ref="B3:I3"/>
    <mergeCell ref="B4:H4"/>
    <mergeCell ref="B1:I1"/>
    <mergeCell ref="B2:I2"/>
  </mergeCells>
  <printOptions horizontalCentered="1" verticalCentered="1"/>
  <pageMargins left="0.5" right="0.25" top="0.75" bottom="0.75" header="0.3" footer="0.3"/>
  <pageSetup paperSize="9" scale="9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C00000"/>
  </sheetPr>
  <dimension ref="B1:G51"/>
  <sheetViews>
    <sheetView view="pageBreakPreview" zoomScale="60" zoomScaleNormal="100" workbookViewId="0">
      <selection activeCell="L24" sqref="L24"/>
    </sheetView>
  </sheetViews>
  <sheetFormatPr defaultColWidth="9.109375" defaultRowHeight="13.8" x14ac:dyDescent="0.25"/>
  <cols>
    <col min="1" max="2" width="9.109375" style="1"/>
    <col min="3" max="3" width="39" style="1" customWidth="1"/>
    <col min="4" max="4" width="9.109375" style="1"/>
    <col min="5" max="5" width="10.109375" style="1" customWidth="1"/>
    <col min="6" max="6" width="10.6640625" style="1" customWidth="1"/>
    <col min="7" max="16384" width="9.109375" style="1"/>
  </cols>
  <sheetData>
    <row r="1" spans="2:7" ht="14.4" thickBot="1" x14ac:dyDescent="0.3"/>
    <row r="2" spans="2:7" ht="16.2" thickBot="1" x14ac:dyDescent="0.35">
      <c r="B2" s="1172" t="s">
        <v>549</v>
      </c>
      <c r="C2" s="1173"/>
      <c r="D2" s="1173"/>
      <c r="E2" s="1173"/>
      <c r="F2" s="1173"/>
      <c r="G2" s="1174"/>
    </row>
    <row r="3" spans="2:7" ht="18" customHeight="1" thickBot="1" x14ac:dyDescent="0.3">
      <c r="B3" s="994" t="s">
        <v>210</v>
      </c>
      <c r="C3" s="995"/>
      <c r="D3" s="995"/>
      <c r="E3" s="995"/>
      <c r="F3" s="995"/>
      <c r="G3" s="996"/>
    </row>
    <row r="4" spans="2:7" ht="18" customHeight="1" thickBot="1" x14ac:dyDescent="0.35">
      <c r="B4" s="1148" t="s">
        <v>204</v>
      </c>
      <c r="C4" s="1149"/>
      <c r="D4" s="1149"/>
      <c r="E4" s="1149"/>
      <c r="F4" s="1149"/>
      <c r="G4" s="578" t="s">
        <v>205</v>
      </c>
    </row>
    <row r="5" spans="2:7" x14ac:dyDescent="0.25">
      <c r="B5" s="1175" t="s">
        <v>0</v>
      </c>
      <c r="C5" s="1177" t="s">
        <v>1</v>
      </c>
      <c r="D5" s="1177" t="s">
        <v>107</v>
      </c>
      <c r="E5" s="1177" t="s">
        <v>517</v>
      </c>
      <c r="F5" s="1177"/>
      <c r="G5" s="1179" t="s">
        <v>2</v>
      </c>
    </row>
    <row r="6" spans="2:7" ht="27.6" x14ac:dyDescent="0.25">
      <c r="B6" s="1176"/>
      <c r="C6" s="1178"/>
      <c r="D6" s="1178"/>
      <c r="E6" s="579" t="s">
        <v>3</v>
      </c>
      <c r="F6" s="580" t="s">
        <v>437</v>
      </c>
      <c r="G6" s="1180"/>
    </row>
    <row r="7" spans="2:7" ht="14.4" thickBot="1" x14ac:dyDescent="0.3">
      <c r="B7" s="581">
        <v>1</v>
      </c>
      <c r="C7" s="582">
        <v>2</v>
      </c>
      <c r="D7" s="582">
        <v>3</v>
      </c>
      <c r="E7" s="582">
        <v>4</v>
      </c>
      <c r="F7" s="582">
        <v>5</v>
      </c>
      <c r="G7" s="583">
        <v>6</v>
      </c>
    </row>
    <row r="8" spans="2:7" x14ac:dyDescent="0.25">
      <c r="B8" s="584" t="s">
        <v>197</v>
      </c>
      <c r="C8" s="585" t="s">
        <v>402</v>
      </c>
      <c r="D8" s="586"/>
      <c r="E8" s="586"/>
      <c r="F8" s="586"/>
      <c r="G8" s="587"/>
    </row>
    <row r="9" spans="2:7" x14ac:dyDescent="0.25">
      <c r="B9" s="588" t="s">
        <v>110</v>
      </c>
      <c r="C9" s="589" t="s">
        <v>18</v>
      </c>
      <c r="D9" s="590"/>
      <c r="E9" s="510">
        <v>6683.8762367346599</v>
      </c>
      <c r="F9" s="591"/>
      <c r="G9" s="592"/>
    </row>
    <row r="10" spans="2:7" x14ac:dyDescent="0.25">
      <c r="B10" s="588" t="s">
        <v>111</v>
      </c>
      <c r="C10" s="589" t="s">
        <v>409</v>
      </c>
      <c r="D10" s="590"/>
      <c r="E10" s="510">
        <v>0</v>
      </c>
      <c r="F10" s="510"/>
      <c r="G10" s="592"/>
    </row>
    <row r="11" spans="2:7" x14ac:dyDescent="0.25">
      <c r="B11" s="588" t="s">
        <v>399</v>
      </c>
      <c r="C11" s="589" t="s">
        <v>410</v>
      </c>
      <c r="D11" s="590"/>
      <c r="E11" s="510">
        <v>148.42908954110791</v>
      </c>
      <c r="F11" s="593"/>
      <c r="G11" s="592"/>
    </row>
    <row r="12" spans="2:7" x14ac:dyDescent="0.25">
      <c r="B12" s="594"/>
      <c r="C12" s="595" t="s">
        <v>157</v>
      </c>
      <c r="D12" s="596"/>
      <c r="E12" s="597">
        <v>6832.3053262757676</v>
      </c>
      <c r="F12" s="598">
        <v>0</v>
      </c>
      <c r="G12" s="592"/>
    </row>
    <row r="13" spans="2:7" x14ac:dyDescent="0.25">
      <c r="B13" s="588" t="s">
        <v>397</v>
      </c>
      <c r="C13" s="599" t="s">
        <v>158</v>
      </c>
      <c r="D13" s="590"/>
      <c r="E13" s="510"/>
      <c r="F13" s="591"/>
      <c r="G13" s="592"/>
    </row>
    <row r="14" spans="2:7" x14ac:dyDescent="0.25">
      <c r="B14" s="588" t="s">
        <v>110</v>
      </c>
      <c r="C14" s="589" t="s">
        <v>411</v>
      </c>
      <c r="D14" s="590"/>
      <c r="E14" s="510">
        <v>503.62495999999999</v>
      </c>
      <c r="F14" s="787"/>
      <c r="G14" s="592"/>
    </row>
    <row r="15" spans="2:7" x14ac:dyDescent="0.25">
      <c r="B15" s="588" t="s">
        <v>111</v>
      </c>
      <c r="C15" s="589" t="s">
        <v>412</v>
      </c>
      <c r="D15" s="590"/>
      <c r="E15" s="510">
        <v>60.021797499999998</v>
      </c>
      <c r="F15" s="787"/>
      <c r="G15" s="592"/>
    </row>
    <row r="16" spans="2:7" x14ac:dyDescent="0.25">
      <c r="B16" s="588" t="s">
        <v>399</v>
      </c>
      <c r="C16" s="589" t="s">
        <v>413</v>
      </c>
      <c r="D16" s="590"/>
      <c r="E16" s="510">
        <v>95.356454781199986</v>
      </c>
      <c r="F16" s="787"/>
      <c r="G16" s="592"/>
    </row>
    <row r="17" spans="2:7" x14ac:dyDescent="0.25">
      <c r="B17" s="588" t="s">
        <v>130</v>
      </c>
      <c r="C17" s="589" t="s">
        <v>9</v>
      </c>
      <c r="D17" s="590"/>
      <c r="E17" s="510">
        <v>82.382366505915343</v>
      </c>
      <c r="F17" s="593"/>
      <c r="G17" s="592"/>
    </row>
    <row r="18" spans="2:7" x14ac:dyDescent="0.25">
      <c r="B18" s="588" t="s">
        <v>131</v>
      </c>
      <c r="C18" s="589" t="s">
        <v>414</v>
      </c>
      <c r="D18" s="590"/>
      <c r="E18" s="518">
        <v>123.65205</v>
      </c>
      <c r="F18" s="593"/>
      <c r="G18" s="592"/>
    </row>
    <row r="19" spans="2:7" x14ac:dyDescent="0.25">
      <c r="B19" s="588" t="s">
        <v>133</v>
      </c>
      <c r="C19" s="589" t="s">
        <v>415</v>
      </c>
      <c r="D19" s="590"/>
      <c r="E19" s="597">
        <v>865.03762878711541</v>
      </c>
      <c r="F19" s="598">
        <v>0</v>
      </c>
      <c r="G19" s="592"/>
    </row>
    <row r="20" spans="2:7" x14ac:dyDescent="0.25">
      <c r="B20" s="588" t="s">
        <v>400</v>
      </c>
      <c r="C20" s="589" t="s">
        <v>416</v>
      </c>
      <c r="D20" s="590"/>
      <c r="E20" s="510"/>
      <c r="F20" s="591"/>
      <c r="G20" s="592"/>
    </row>
    <row r="21" spans="2:7" x14ac:dyDescent="0.25">
      <c r="B21" s="588"/>
      <c r="C21" s="600" t="s">
        <v>159</v>
      </c>
      <c r="D21" s="590"/>
      <c r="E21" s="510">
        <v>0</v>
      </c>
      <c r="F21" s="510">
        <v>0</v>
      </c>
      <c r="G21" s="592"/>
    </row>
    <row r="22" spans="2:7" x14ac:dyDescent="0.25">
      <c r="B22" s="588"/>
      <c r="C22" s="600" t="s">
        <v>160</v>
      </c>
      <c r="D22" s="590"/>
      <c r="E22" s="510"/>
      <c r="F22" s="591"/>
      <c r="G22" s="592"/>
    </row>
    <row r="23" spans="2:7" x14ac:dyDescent="0.25">
      <c r="B23" s="588" t="s">
        <v>401</v>
      </c>
      <c r="C23" s="589" t="s">
        <v>417</v>
      </c>
      <c r="D23" s="590"/>
      <c r="E23" s="510"/>
      <c r="F23" s="591"/>
      <c r="G23" s="592"/>
    </row>
    <row r="24" spans="2:7" x14ac:dyDescent="0.25">
      <c r="B24" s="588" t="s">
        <v>398</v>
      </c>
      <c r="C24" s="589" t="s">
        <v>418</v>
      </c>
      <c r="D24" s="590"/>
      <c r="E24" s="510"/>
      <c r="F24" s="591"/>
      <c r="G24" s="592"/>
    </row>
    <row r="25" spans="2:7" x14ac:dyDescent="0.25">
      <c r="B25" s="588" t="s">
        <v>403</v>
      </c>
      <c r="C25" s="589" t="s">
        <v>419</v>
      </c>
      <c r="D25" s="590"/>
      <c r="E25" s="510">
        <v>5549.1307706499992</v>
      </c>
      <c r="F25" s="593"/>
      <c r="G25" s="592"/>
    </row>
    <row r="26" spans="2:7" x14ac:dyDescent="0.25">
      <c r="B26" s="588" t="s">
        <v>404</v>
      </c>
      <c r="C26" s="595" t="s">
        <v>420</v>
      </c>
      <c r="D26" s="590"/>
      <c r="E26" s="510"/>
      <c r="F26" s="591"/>
      <c r="G26" s="592"/>
    </row>
    <row r="27" spans="2:7" x14ac:dyDescent="0.25">
      <c r="B27" s="588" t="s">
        <v>405</v>
      </c>
      <c r="C27" s="595" t="s">
        <v>421</v>
      </c>
      <c r="D27" s="590"/>
      <c r="E27" s="510">
        <v>90.041986008796712</v>
      </c>
      <c r="F27" s="593"/>
      <c r="G27" s="592"/>
    </row>
    <row r="28" spans="2:7" x14ac:dyDescent="0.25">
      <c r="B28" s="601"/>
      <c r="C28" s="602" t="s">
        <v>161</v>
      </c>
      <c r="D28" s="603"/>
      <c r="E28" s="604">
        <v>6504.210385445911</v>
      </c>
      <c r="F28" s="605">
        <v>0</v>
      </c>
      <c r="G28" s="606"/>
    </row>
    <row r="29" spans="2:7" x14ac:dyDescent="0.25">
      <c r="B29" s="588" t="s">
        <v>406</v>
      </c>
      <c r="C29" s="599" t="s">
        <v>407</v>
      </c>
      <c r="D29" s="590"/>
      <c r="E29" s="597">
        <v>328.09494082985657</v>
      </c>
      <c r="F29" s="598">
        <v>0</v>
      </c>
      <c r="G29" s="592"/>
    </row>
    <row r="30" spans="2:7" x14ac:dyDescent="0.25">
      <c r="B30" s="588" t="s">
        <v>408</v>
      </c>
      <c r="C30" s="599" t="s">
        <v>422</v>
      </c>
      <c r="D30" s="590"/>
      <c r="E30" s="510">
        <v>0</v>
      </c>
      <c r="F30" s="510">
        <v>0</v>
      </c>
      <c r="G30" s="592"/>
    </row>
    <row r="31" spans="2:7" x14ac:dyDescent="0.25">
      <c r="B31" s="588" t="s">
        <v>198</v>
      </c>
      <c r="C31" s="599" t="s">
        <v>423</v>
      </c>
      <c r="D31" s="590"/>
      <c r="E31" s="510">
        <v>0</v>
      </c>
      <c r="F31" s="510">
        <v>0</v>
      </c>
      <c r="G31" s="592"/>
    </row>
    <row r="32" spans="2:7" x14ac:dyDescent="0.25">
      <c r="B32" s="588" t="s">
        <v>199</v>
      </c>
      <c r="C32" s="599" t="s">
        <v>424</v>
      </c>
      <c r="D32" s="590"/>
      <c r="E32" s="597">
        <v>328.09494082985657</v>
      </c>
      <c r="F32" s="598">
        <v>0</v>
      </c>
      <c r="G32" s="592"/>
    </row>
    <row r="33" spans="2:7" ht="27.6" x14ac:dyDescent="0.25">
      <c r="B33" s="588" t="s">
        <v>200</v>
      </c>
      <c r="C33" s="607" t="s">
        <v>425</v>
      </c>
      <c r="D33" s="590"/>
      <c r="E33" s="510">
        <v>1766.4212201906398</v>
      </c>
      <c r="F33" s="593"/>
      <c r="G33" s="592"/>
    </row>
    <row r="34" spans="2:7" ht="14.4" thickBot="1" x14ac:dyDescent="0.3">
      <c r="B34" s="608" t="s">
        <v>201</v>
      </c>
      <c r="C34" s="609" t="s">
        <v>426</v>
      </c>
      <c r="D34" s="610"/>
      <c r="E34" s="611">
        <v>18.573992266377278</v>
      </c>
      <c r="F34" s="612"/>
      <c r="G34" s="613"/>
    </row>
    <row r="39" spans="2:7" x14ac:dyDescent="0.25">
      <c r="B39" s="177"/>
      <c r="G39" s="178"/>
    </row>
    <row r="40" spans="2:7" x14ac:dyDescent="0.25">
      <c r="B40" s="177"/>
      <c r="G40" s="179"/>
    </row>
    <row r="41" spans="2:7" x14ac:dyDescent="0.25">
      <c r="F41" s="614"/>
    </row>
    <row r="42" spans="2:7" x14ac:dyDescent="0.25">
      <c r="F42" s="614"/>
    </row>
    <row r="43" spans="2:7" x14ac:dyDescent="0.25">
      <c r="F43" s="614"/>
    </row>
    <row r="45" spans="2:7" ht="14.4" x14ac:dyDescent="0.3">
      <c r="B45" s="181"/>
      <c r="C45" s="181"/>
      <c r="D45" s="257"/>
      <c r="G45" s="182"/>
    </row>
    <row r="46" spans="2:7" ht="14.4" x14ac:dyDescent="0.3">
      <c r="B46" s="183"/>
      <c r="C46" s="183"/>
      <c r="D46" s="257"/>
      <c r="F46" s="615"/>
      <c r="G46" s="182"/>
    </row>
    <row r="47" spans="2:7" ht="14.4" x14ac:dyDescent="0.3">
      <c r="B47" s="258"/>
      <c r="C47" s="258"/>
      <c r="D47" s="258"/>
      <c r="E47" s="258"/>
    </row>
    <row r="48" spans="2:7" ht="14.4" x14ac:dyDescent="0.3">
      <c r="B48" s="258"/>
      <c r="C48" s="258"/>
      <c r="D48" s="258"/>
      <c r="F48" s="182"/>
    </row>
    <row r="49" spans="2:6" ht="14.4" x14ac:dyDescent="0.3">
      <c r="C49" s="258"/>
      <c r="D49" s="258"/>
      <c r="F49" s="259"/>
    </row>
    <row r="50" spans="2:6" ht="14.4" x14ac:dyDescent="0.3">
      <c r="B50" s="180" t="s">
        <v>449</v>
      </c>
      <c r="C50" s="258"/>
      <c r="D50" s="258"/>
      <c r="E50" s="260"/>
      <c r="F50" s="259"/>
    </row>
    <row r="51" spans="2:6" ht="14.4" x14ac:dyDescent="0.3">
      <c r="B51" s="180" t="s">
        <v>450</v>
      </c>
      <c r="C51" s="258"/>
      <c r="D51" s="258"/>
      <c r="E51" s="258"/>
      <c r="F51" s="261"/>
    </row>
  </sheetData>
  <mergeCells count="8">
    <mergeCell ref="B2:G2"/>
    <mergeCell ref="B5:B6"/>
    <mergeCell ref="C5:C6"/>
    <mergeCell ref="D5:D6"/>
    <mergeCell ref="E5:F5"/>
    <mergeCell ref="G5:G6"/>
    <mergeCell ref="B3:G3"/>
    <mergeCell ref="B4:F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C00000"/>
    <pageSetUpPr fitToPage="1"/>
  </sheetPr>
  <dimension ref="B1:G53"/>
  <sheetViews>
    <sheetView view="pageBreakPreview" zoomScale="60" zoomScaleNormal="70" workbookViewId="0">
      <selection activeCell="A53" sqref="A53:XFD60"/>
    </sheetView>
  </sheetViews>
  <sheetFormatPr defaultColWidth="9.109375" defaultRowHeight="13.8" x14ac:dyDescent="0.3"/>
  <cols>
    <col min="1" max="2" width="9.109375" style="616"/>
    <col min="3" max="3" width="61" style="616" customWidth="1"/>
    <col min="4" max="4" width="11.88671875" style="616" customWidth="1"/>
    <col min="5" max="6" width="17.88671875" style="616" bestFit="1" customWidth="1"/>
    <col min="7" max="7" width="17.88671875" style="616" customWidth="1"/>
    <col min="8" max="16384" width="9.109375" style="616"/>
  </cols>
  <sheetData>
    <row r="1" spans="2:7" ht="15.75" customHeight="1" thickBot="1" x14ac:dyDescent="0.35">
      <c r="B1" s="1181"/>
      <c r="C1" s="1181"/>
      <c r="D1" s="1181"/>
      <c r="E1" s="1181"/>
      <c r="F1" s="1181"/>
      <c r="G1" s="1181"/>
    </row>
    <row r="2" spans="2:7" ht="16.2" thickBot="1" x14ac:dyDescent="0.35">
      <c r="B2" s="976" t="s">
        <v>548</v>
      </c>
      <c r="C2" s="977"/>
      <c r="D2" s="977"/>
      <c r="E2" s="977"/>
      <c r="F2" s="977"/>
      <c r="G2" s="978"/>
    </row>
    <row r="3" spans="2:7" ht="16.2" thickBot="1" x14ac:dyDescent="0.35">
      <c r="B3" s="985" t="s">
        <v>210</v>
      </c>
      <c r="C3" s="986"/>
      <c r="D3" s="986"/>
      <c r="E3" s="986"/>
      <c r="F3" s="986"/>
      <c r="G3" s="987"/>
    </row>
    <row r="4" spans="2:7" ht="16.2" thickBot="1" x14ac:dyDescent="0.35">
      <c r="B4" s="1188" t="s">
        <v>204</v>
      </c>
      <c r="C4" s="1189"/>
      <c r="D4" s="1189"/>
      <c r="E4" s="1189"/>
      <c r="F4" s="1189"/>
      <c r="G4" s="617" t="s">
        <v>270</v>
      </c>
    </row>
    <row r="5" spans="2:7" ht="15.6" x14ac:dyDescent="0.3">
      <c r="B5" s="1184" t="s">
        <v>0</v>
      </c>
      <c r="C5" s="1186" t="s">
        <v>1</v>
      </c>
      <c r="D5" s="1186" t="s">
        <v>107</v>
      </c>
      <c r="E5" s="528" t="s">
        <v>551</v>
      </c>
      <c r="F5" s="528" t="s">
        <v>517</v>
      </c>
      <c r="G5" s="1182" t="s">
        <v>2</v>
      </c>
    </row>
    <row r="6" spans="2:7" ht="15.6" x14ac:dyDescent="0.3">
      <c r="B6" s="1185"/>
      <c r="C6" s="1187"/>
      <c r="D6" s="1187"/>
      <c r="E6" s="190" t="s">
        <v>3</v>
      </c>
      <c r="F6" s="190" t="s">
        <v>3</v>
      </c>
      <c r="G6" s="1183"/>
    </row>
    <row r="7" spans="2:7" ht="16.2" thickBot="1" x14ac:dyDescent="0.35">
      <c r="B7" s="530">
        <v>1</v>
      </c>
      <c r="C7" s="531">
        <v>2</v>
      </c>
      <c r="D7" s="531">
        <v>3</v>
      </c>
      <c r="E7" s="531">
        <v>4</v>
      </c>
      <c r="F7" s="531">
        <v>5</v>
      </c>
      <c r="G7" s="532">
        <v>6</v>
      </c>
    </row>
    <row r="8" spans="2:7" ht="15.6" x14ac:dyDescent="0.3">
      <c r="B8" s="618"/>
      <c r="C8" s="619" t="s">
        <v>162</v>
      </c>
      <c r="D8" s="620"/>
      <c r="E8" s="533"/>
      <c r="F8" s="533"/>
      <c r="G8" s="535"/>
    </row>
    <row r="9" spans="2:7" ht="15.6" x14ac:dyDescent="0.3">
      <c r="B9" s="621" t="s">
        <v>427</v>
      </c>
      <c r="C9" s="622" t="s">
        <v>430</v>
      </c>
      <c r="D9" s="623"/>
      <c r="E9" s="624"/>
      <c r="F9" s="624"/>
      <c r="G9" s="625"/>
    </row>
    <row r="10" spans="2:7" ht="15.6" x14ac:dyDescent="0.3">
      <c r="B10" s="543"/>
      <c r="C10" s="626" t="s">
        <v>292</v>
      </c>
      <c r="D10" s="627"/>
      <c r="E10" s="628">
        <v>1054388151</v>
      </c>
      <c r="F10" s="628">
        <v>1054388151</v>
      </c>
      <c r="G10" s="537"/>
    </row>
    <row r="11" spans="2:7" ht="15.6" x14ac:dyDescent="0.3">
      <c r="B11" s="543"/>
      <c r="C11" s="626" t="s">
        <v>163</v>
      </c>
      <c r="D11" s="627"/>
      <c r="E11" s="628">
        <v>-4652434.5219013095</v>
      </c>
      <c r="F11" s="628">
        <v>-72382022.635429978</v>
      </c>
      <c r="G11" s="537"/>
    </row>
    <row r="12" spans="2:7" ht="15.6" x14ac:dyDescent="0.3">
      <c r="B12" s="543"/>
      <c r="C12" s="622" t="s">
        <v>164</v>
      </c>
      <c r="D12" s="627"/>
      <c r="E12" s="629">
        <v>1049735716.4780986</v>
      </c>
      <c r="F12" s="629">
        <v>982006128.36457002</v>
      </c>
      <c r="G12" s="537"/>
    </row>
    <row r="13" spans="2:7" ht="15.6" x14ac:dyDescent="0.3">
      <c r="B13" s="621" t="s">
        <v>428</v>
      </c>
      <c r="C13" s="622" t="s">
        <v>431</v>
      </c>
      <c r="D13" s="623"/>
      <c r="E13" s="629"/>
      <c r="F13" s="629"/>
      <c r="G13" s="625"/>
    </row>
    <row r="14" spans="2:7" ht="15.6" x14ac:dyDescent="0.3">
      <c r="B14" s="543"/>
      <c r="C14" s="626" t="s">
        <v>165</v>
      </c>
      <c r="D14" s="627"/>
      <c r="E14" s="628"/>
      <c r="F14" s="628"/>
      <c r="G14" s="537"/>
    </row>
    <row r="15" spans="2:7" ht="15.6" x14ac:dyDescent="0.3">
      <c r="B15" s="543"/>
      <c r="C15" s="630" t="s">
        <v>166</v>
      </c>
      <c r="D15" s="627"/>
      <c r="E15" s="628">
        <v>0</v>
      </c>
      <c r="F15" s="628">
        <v>0</v>
      </c>
      <c r="G15" s="537"/>
    </row>
    <row r="16" spans="2:7" ht="15.6" x14ac:dyDescent="0.3">
      <c r="B16" s="543"/>
      <c r="C16" s="630" t="s">
        <v>167</v>
      </c>
      <c r="D16" s="627"/>
      <c r="E16" s="628">
        <v>279084124.25</v>
      </c>
      <c r="F16" s="628">
        <v>287324864.42000002</v>
      </c>
      <c r="G16" s="537"/>
    </row>
    <row r="17" spans="2:7" ht="15.6" x14ac:dyDescent="0.3">
      <c r="B17" s="543"/>
      <c r="C17" s="622" t="s">
        <v>168</v>
      </c>
      <c r="D17" s="627"/>
      <c r="E17" s="629">
        <v>279084124.25</v>
      </c>
      <c r="F17" s="629">
        <v>287324864.42000002</v>
      </c>
      <c r="G17" s="537"/>
    </row>
    <row r="18" spans="2:7" ht="15.6" x14ac:dyDescent="0.3">
      <c r="B18" s="621" t="s">
        <v>429</v>
      </c>
      <c r="C18" s="631" t="s">
        <v>432</v>
      </c>
      <c r="D18" s="623"/>
      <c r="E18" s="629"/>
      <c r="F18" s="629"/>
      <c r="G18" s="625"/>
    </row>
    <row r="19" spans="2:7" ht="15.6" x14ac:dyDescent="0.3">
      <c r="B19" s="543"/>
      <c r="C19" s="632" t="s">
        <v>169</v>
      </c>
      <c r="D19" s="627"/>
      <c r="E19" s="628">
        <v>0</v>
      </c>
      <c r="F19" s="628">
        <v>0</v>
      </c>
      <c r="G19" s="537"/>
    </row>
    <row r="20" spans="2:7" ht="15.6" x14ac:dyDescent="0.3">
      <c r="B20" s="543"/>
      <c r="C20" s="632" t="s">
        <v>170</v>
      </c>
      <c r="D20" s="627"/>
      <c r="E20" s="628">
        <v>0</v>
      </c>
      <c r="F20" s="628">
        <v>0</v>
      </c>
      <c r="G20" s="537"/>
    </row>
    <row r="21" spans="2:7" ht="15.6" x14ac:dyDescent="0.3">
      <c r="B21" s="543"/>
      <c r="C21" s="626" t="s">
        <v>171</v>
      </c>
      <c r="D21" s="627"/>
      <c r="E21" s="628">
        <v>0</v>
      </c>
      <c r="F21" s="628">
        <v>0</v>
      </c>
      <c r="G21" s="537"/>
    </row>
    <row r="22" spans="2:7" ht="15.6" x14ac:dyDescent="0.3">
      <c r="B22" s="633"/>
      <c r="C22" s="634" t="s">
        <v>172</v>
      </c>
      <c r="D22" s="635"/>
      <c r="E22" s="636">
        <v>1328819840.7280986</v>
      </c>
      <c r="F22" s="636">
        <v>1269330992.78457</v>
      </c>
      <c r="G22" s="637"/>
    </row>
    <row r="23" spans="2:7" ht="15.6" x14ac:dyDescent="0.3">
      <c r="B23" s="543"/>
      <c r="C23" s="638" t="s">
        <v>173</v>
      </c>
      <c r="D23" s="627"/>
      <c r="E23" s="628"/>
      <c r="F23" s="628"/>
      <c r="G23" s="537"/>
    </row>
    <row r="24" spans="2:7" ht="15.6" x14ac:dyDescent="0.3">
      <c r="B24" s="621" t="s">
        <v>427</v>
      </c>
      <c r="C24" s="622" t="s">
        <v>434</v>
      </c>
      <c r="D24" s="623"/>
      <c r="E24" s="629"/>
      <c r="F24" s="629"/>
      <c r="G24" s="625"/>
    </row>
    <row r="25" spans="2:7" ht="15.6" x14ac:dyDescent="0.3">
      <c r="B25" s="543"/>
      <c r="C25" s="626" t="s">
        <v>174</v>
      </c>
      <c r="D25" s="627"/>
      <c r="E25" s="628">
        <v>780697543.19999993</v>
      </c>
      <c r="F25" s="628">
        <v>741361967.20000005</v>
      </c>
      <c r="G25" s="537"/>
    </row>
    <row r="26" spans="2:7" ht="15.6" x14ac:dyDescent="0.3">
      <c r="B26" s="543"/>
      <c r="C26" s="626" t="s">
        <v>175</v>
      </c>
      <c r="D26" s="627"/>
      <c r="E26" s="628">
        <v>219865463.98034295</v>
      </c>
      <c r="F26" s="628">
        <v>237134293.74000001</v>
      </c>
      <c r="G26" s="537"/>
    </row>
    <row r="27" spans="2:7" ht="15.6" x14ac:dyDescent="0.3">
      <c r="B27" s="543"/>
      <c r="C27" s="626" t="s">
        <v>176</v>
      </c>
      <c r="D27" s="627"/>
      <c r="E27" s="629">
        <v>560832079.21965694</v>
      </c>
      <c r="F27" s="629">
        <v>504227673.46000004</v>
      </c>
      <c r="G27" s="537"/>
    </row>
    <row r="28" spans="2:7" ht="15.6" x14ac:dyDescent="0.3">
      <c r="B28" s="543"/>
      <c r="C28" s="626" t="s">
        <v>177</v>
      </c>
      <c r="D28" s="627"/>
      <c r="E28" s="628">
        <v>5689130.46</v>
      </c>
      <c r="F28" s="628">
        <v>21155172.460000001</v>
      </c>
      <c r="G28" s="537"/>
    </row>
    <row r="29" spans="2:7" ht="15.6" x14ac:dyDescent="0.3">
      <c r="B29" s="543"/>
      <c r="C29" s="626" t="s">
        <v>178</v>
      </c>
      <c r="D29" s="627"/>
      <c r="E29" s="628">
        <v>0</v>
      </c>
      <c r="F29" s="628">
        <v>0</v>
      </c>
      <c r="G29" s="537"/>
    </row>
    <row r="30" spans="2:7" ht="15.6" x14ac:dyDescent="0.3">
      <c r="B30" s="543"/>
      <c r="C30" s="626" t="s">
        <v>179</v>
      </c>
      <c r="D30" s="627"/>
      <c r="E30" s="628">
        <v>0</v>
      </c>
      <c r="F30" s="628">
        <v>0</v>
      </c>
      <c r="G30" s="537"/>
    </row>
    <row r="31" spans="2:7" ht="15.6" x14ac:dyDescent="0.3">
      <c r="B31" s="543"/>
      <c r="C31" s="626" t="s">
        <v>180</v>
      </c>
      <c r="D31" s="627"/>
      <c r="E31" s="628">
        <v>0</v>
      </c>
      <c r="F31" s="628">
        <v>0</v>
      </c>
      <c r="G31" s="537"/>
    </row>
    <row r="32" spans="2:7" ht="15.6" x14ac:dyDescent="0.3">
      <c r="B32" s="543"/>
      <c r="C32" s="626" t="s">
        <v>181</v>
      </c>
      <c r="D32" s="627"/>
      <c r="E32" s="628">
        <v>0</v>
      </c>
      <c r="F32" s="628">
        <v>0</v>
      </c>
      <c r="G32" s="537"/>
    </row>
    <row r="33" spans="2:7" ht="15.6" x14ac:dyDescent="0.3">
      <c r="B33" s="543"/>
      <c r="C33" s="622" t="s">
        <v>182</v>
      </c>
      <c r="D33" s="627"/>
      <c r="E33" s="629">
        <v>566521209.67965698</v>
      </c>
      <c r="F33" s="629">
        <v>525382845.92000002</v>
      </c>
      <c r="G33" s="537"/>
    </row>
    <row r="34" spans="2:7" ht="15.6" x14ac:dyDescent="0.3">
      <c r="B34" s="621" t="s">
        <v>428</v>
      </c>
      <c r="C34" s="622" t="s">
        <v>183</v>
      </c>
      <c r="D34" s="623"/>
      <c r="E34" s="629"/>
      <c r="F34" s="629"/>
      <c r="G34" s="625"/>
    </row>
    <row r="35" spans="2:7" ht="15.6" x14ac:dyDescent="0.3">
      <c r="B35" s="543"/>
      <c r="C35" s="626" t="s">
        <v>184</v>
      </c>
      <c r="D35" s="627"/>
      <c r="E35" s="628">
        <v>0</v>
      </c>
      <c r="F35" s="628"/>
      <c r="G35" s="537"/>
    </row>
    <row r="36" spans="2:7" ht="15.6" x14ac:dyDescent="0.3">
      <c r="B36" s="621" t="s">
        <v>429</v>
      </c>
      <c r="C36" s="622" t="s">
        <v>433</v>
      </c>
      <c r="D36" s="623"/>
      <c r="E36" s="629"/>
      <c r="F36" s="629"/>
      <c r="G36" s="625"/>
    </row>
    <row r="37" spans="2:7" ht="15.6" x14ac:dyDescent="0.3">
      <c r="B37" s="543"/>
      <c r="C37" s="639" t="s">
        <v>185</v>
      </c>
      <c r="D37" s="627"/>
      <c r="E37" s="628"/>
      <c r="F37" s="628"/>
      <c r="G37" s="537"/>
    </row>
    <row r="38" spans="2:7" ht="15.6" x14ac:dyDescent="0.3">
      <c r="B38" s="543"/>
      <c r="C38" s="640" t="s">
        <v>186</v>
      </c>
      <c r="D38" s="627"/>
      <c r="E38" s="628"/>
      <c r="F38" s="628"/>
      <c r="G38" s="537"/>
    </row>
    <row r="39" spans="2:7" ht="15.6" x14ac:dyDescent="0.3">
      <c r="B39" s="543"/>
      <c r="C39" s="640" t="s">
        <v>187</v>
      </c>
      <c r="D39" s="627"/>
      <c r="E39" s="628">
        <v>177076537.71000001</v>
      </c>
      <c r="F39" s="628">
        <v>146795675.87</v>
      </c>
      <c r="G39" s="537"/>
    </row>
    <row r="40" spans="2:7" ht="15.6" x14ac:dyDescent="0.3">
      <c r="B40" s="543"/>
      <c r="C40" s="640" t="s">
        <v>188</v>
      </c>
      <c r="D40" s="627"/>
      <c r="E40" s="628">
        <v>25105865.739999998</v>
      </c>
      <c r="F40" s="628">
        <v>31889567.989999998</v>
      </c>
      <c r="G40" s="537"/>
    </row>
    <row r="41" spans="2:7" ht="15.6" x14ac:dyDescent="0.3">
      <c r="B41" s="543"/>
      <c r="C41" s="640" t="s">
        <v>493</v>
      </c>
      <c r="D41" s="197"/>
      <c r="E41" s="628">
        <v>50743469</v>
      </c>
      <c r="F41" s="628">
        <v>45272769</v>
      </c>
      <c r="G41" s="537"/>
    </row>
    <row r="42" spans="2:7" ht="15.6" x14ac:dyDescent="0.3">
      <c r="B42" s="543"/>
      <c r="C42" s="640" t="s">
        <v>491</v>
      </c>
      <c r="D42" s="197"/>
      <c r="E42" s="628">
        <v>843908331.69000006</v>
      </c>
      <c r="F42" s="628">
        <v>835424238</v>
      </c>
      <c r="G42" s="537"/>
    </row>
    <row r="43" spans="2:7" ht="15.6" x14ac:dyDescent="0.3">
      <c r="B43" s="543"/>
      <c r="C43" s="640" t="s">
        <v>492</v>
      </c>
      <c r="D43" s="197"/>
      <c r="E43" s="628">
        <v>0</v>
      </c>
      <c r="F43" s="628">
        <v>0</v>
      </c>
      <c r="G43" s="537"/>
    </row>
    <row r="44" spans="2:7" ht="15.6" x14ac:dyDescent="0.3">
      <c r="B44" s="543"/>
      <c r="C44" s="622" t="s">
        <v>189</v>
      </c>
      <c r="D44" s="197"/>
      <c r="E44" s="629">
        <v>1096834204.1400001</v>
      </c>
      <c r="F44" s="629">
        <v>1059382250.86</v>
      </c>
      <c r="G44" s="537"/>
    </row>
    <row r="45" spans="2:7" ht="15.6" x14ac:dyDescent="0.3">
      <c r="B45" s="543"/>
      <c r="C45" s="639" t="s">
        <v>190</v>
      </c>
      <c r="D45" s="197"/>
      <c r="E45" s="628"/>
      <c r="F45" s="628"/>
      <c r="G45" s="537"/>
    </row>
    <row r="46" spans="2:7" ht="15.6" x14ac:dyDescent="0.3">
      <c r="B46" s="543"/>
      <c r="C46" s="640" t="s">
        <v>191</v>
      </c>
      <c r="D46" s="197"/>
      <c r="E46" s="628">
        <v>194877310</v>
      </c>
      <c r="F46" s="628">
        <v>179087535</v>
      </c>
      <c r="G46" s="537"/>
    </row>
    <row r="47" spans="2:7" ht="15.6" x14ac:dyDescent="0.3">
      <c r="B47" s="543"/>
      <c r="C47" s="640" t="s">
        <v>241</v>
      </c>
      <c r="D47" s="197"/>
      <c r="E47" s="628">
        <v>0</v>
      </c>
      <c r="F47" s="628">
        <v>0</v>
      </c>
      <c r="G47" s="537"/>
    </row>
    <row r="48" spans="2:7" ht="15.6" x14ac:dyDescent="0.3">
      <c r="B48" s="543"/>
      <c r="C48" s="640" t="s">
        <v>192</v>
      </c>
      <c r="D48" s="197"/>
      <c r="E48" s="628">
        <v>0</v>
      </c>
      <c r="F48" s="628">
        <v>0</v>
      </c>
      <c r="G48" s="537"/>
    </row>
    <row r="49" spans="2:7" ht="15.6" x14ac:dyDescent="0.3">
      <c r="B49" s="543"/>
      <c r="C49" s="640" t="s">
        <v>193</v>
      </c>
      <c r="D49" s="197"/>
      <c r="E49" s="628">
        <v>139658263.09</v>
      </c>
      <c r="F49" s="628">
        <v>136346569</v>
      </c>
      <c r="G49" s="537"/>
    </row>
    <row r="50" spans="2:7" ht="15.6" x14ac:dyDescent="0.3">
      <c r="B50" s="271"/>
      <c r="C50" s="641" t="s">
        <v>194</v>
      </c>
      <c r="D50" s="272"/>
      <c r="E50" s="642">
        <v>334535573.09000003</v>
      </c>
      <c r="F50" s="642">
        <v>315434104</v>
      </c>
      <c r="G50" s="540"/>
    </row>
    <row r="51" spans="2:7" ht="15.6" x14ac:dyDescent="0.3">
      <c r="B51" s="271"/>
      <c r="C51" s="643" t="s">
        <v>195</v>
      </c>
      <c r="D51" s="272"/>
      <c r="E51" s="642">
        <v>762298631.05000007</v>
      </c>
      <c r="F51" s="642">
        <v>743948146.86000001</v>
      </c>
      <c r="G51" s="540"/>
    </row>
    <row r="52" spans="2:7" ht="16.2" thickBot="1" x14ac:dyDescent="0.35">
      <c r="B52" s="644"/>
      <c r="C52" s="645" t="s">
        <v>196</v>
      </c>
      <c r="D52" s="200"/>
      <c r="E52" s="646">
        <v>1328819840.7296572</v>
      </c>
      <c r="F52" s="646">
        <v>1269330992.78</v>
      </c>
      <c r="G52" s="647"/>
    </row>
    <row r="53" spans="2:7" x14ac:dyDescent="0.3">
      <c r="E53" s="657"/>
      <c r="F53" s="657"/>
    </row>
  </sheetData>
  <mergeCells count="8">
    <mergeCell ref="B1:G1"/>
    <mergeCell ref="B2:G2"/>
    <mergeCell ref="G5:G6"/>
    <mergeCell ref="B5:B6"/>
    <mergeCell ref="C5:C6"/>
    <mergeCell ref="D5:D6"/>
    <mergeCell ref="B3:G3"/>
    <mergeCell ref="B4:F4"/>
  </mergeCells>
  <printOptions horizontalCentered="1" verticalCentered="1"/>
  <pageMargins left="0.7" right="0.7" top="0.75" bottom="0.75" header="0.3" footer="0.3"/>
  <pageSetup paperSize="9" scale="64" fitToHeight="0" orientation="portrait" r:id="rId1"/>
  <colBreaks count="1" manualBreakCount="1">
    <brk id="7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41"/>
  <sheetViews>
    <sheetView view="pageBreakPreview" zoomScale="85" zoomScaleNormal="100" zoomScaleSheetLayoutView="85" workbookViewId="0">
      <selection activeCell="F24" sqref="F24"/>
    </sheetView>
  </sheetViews>
  <sheetFormatPr defaultColWidth="9.109375" defaultRowHeight="14.4" x14ac:dyDescent="0.3"/>
  <cols>
    <col min="1" max="1" width="67.88671875" bestFit="1" customWidth="1"/>
    <col min="2" max="3" width="19.5546875" bestFit="1" customWidth="1"/>
    <col min="4" max="4" width="14.109375" customWidth="1"/>
  </cols>
  <sheetData>
    <row r="1" spans="1:4" ht="15.6" x14ac:dyDescent="0.3">
      <c r="A1" s="1190" t="s">
        <v>295</v>
      </c>
      <c r="B1" s="1190"/>
      <c r="C1" s="1190"/>
      <c r="D1" s="673"/>
    </row>
    <row r="2" spans="1:4" x14ac:dyDescent="0.3">
      <c r="A2" s="1191" t="s">
        <v>296</v>
      </c>
      <c r="B2" s="1191"/>
      <c r="C2" s="1191"/>
      <c r="D2" s="674"/>
    </row>
    <row r="3" spans="1:4" x14ac:dyDescent="0.3">
      <c r="A3" s="1192" t="s">
        <v>271</v>
      </c>
      <c r="B3" s="1192"/>
      <c r="C3" s="1192"/>
      <c r="D3" s="675"/>
    </row>
    <row r="4" spans="1:4" x14ac:dyDescent="0.3">
      <c r="A4" s="1193" t="s">
        <v>566</v>
      </c>
      <c r="B4" s="1193"/>
      <c r="C4" s="1193"/>
    </row>
    <row r="5" spans="1:4" x14ac:dyDescent="0.3">
      <c r="A5" s="809" t="s">
        <v>272</v>
      </c>
      <c r="B5" s="810" t="s">
        <v>273</v>
      </c>
      <c r="C5" s="810" t="s">
        <v>273</v>
      </c>
    </row>
    <row r="6" spans="1:4" x14ac:dyDescent="0.3">
      <c r="A6" s="811" t="s">
        <v>274</v>
      </c>
      <c r="B6" s="812"/>
      <c r="C6" s="812"/>
    </row>
    <row r="7" spans="1:4" x14ac:dyDescent="0.3">
      <c r="A7" s="813" t="s">
        <v>275</v>
      </c>
      <c r="B7" s="813">
        <v>41813561.043528676</v>
      </c>
      <c r="C7" s="812"/>
    </row>
    <row r="8" spans="1:4" x14ac:dyDescent="0.3">
      <c r="A8" s="811" t="s">
        <v>276</v>
      </c>
      <c r="B8" s="813"/>
      <c r="C8" s="812"/>
    </row>
    <row r="9" spans="1:4" x14ac:dyDescent="0.3">
      <c r="A9" s="813" t="s">
        <v>277</v>
      </c>
      <c r="B9" s="813">
        <v>8238236.6505915346</v>
      </c>
      <c r="C9" s="812"/>
    </row>
    <row r="10" spans="1:4" x14ac:dyDescent="0.3">
      <c r="A10" s="811" t="s">
        <v>278</v>
      </c>
      <c r="B10" s="814">
        <v>50051797.694120213</v>
      </c>
      <c r="C10" s="812"/>
    </row>
    <row r="11" spans="1:4" x14ac:dyDescent="0.3">
      <c r="A11" s="813" t="s">
        <v>559</v>
      </c>
      <c r="B11" s="813">
        <v>-221414</v>
      </c>
      <c r="C11" s="812"/>
    </row>
    <row r="12" spans="1:4" x14ac:dyDescent="0.3">
      <c r="A12" s="813" t="s">
        <v>523</v>
      </c>
      <c r="B12" s="813">
        <v>-30280861.140000004</v>
      </c>
      <c r="C12" s="812"/>
    </row>
    <row r="13" spans="1:4" x14ac:dyDescent="0.3">
      <c r="A13" s="813" t="s">
        <v>560</v>
      </c>
      <c r="B13" s="813">
        <v>-5470700</v>
      </c>
      <c r="C13" s="812"/>
    </row>
    <row r="14" spans="1:4" x14ac:dyDescent="0.3">
      <c r="A14" s="813" t="s">
        <v>561</v>
      </c>
      <c r="B14" s="813">
        <v>-431205</v>
      </c>
      <c r="C14" s="812"/>
    </row>
    <row r="15" spans="1:4" x14ac:dyDescent="0.3">
      <c r="A15" s="813" t="s">
        <v>524</v>
      </c>
      <c r="B15" s="813">
        <v>-8151165</v>
      </c>
      <c r="C15" s="812"/>
    </row>
    <row r="16" spans="1:4" x14ac:dyDescent="0.3">
      <c r="A16" s="813" t="s">
        <v>582</v>
      </c>
      <c r="B16" s="813">
        <v>-332928.69</v>
      </c>
      <c r="C16" s="812"/>
    </row>
    <row r="17" spans="1:3" x14ac:dyDescent="0.3">
      <c r="A17" s="813" t="s">
        <v>562</v>
      </c>
      <c r="B17" s="813">
        <v>-33000</v>
      </c>
      <c r="C17" s="812"/>
    </row>
    <row r="18" spans="1:3" x14ac:dyDescent="0.3">
      <c r="A18" s="813" t="s">
        <v>525</v>
      </c>
      <c r="B18" s="813">
        <v>15789775</v>
      </c>
      <c r="C18" s="812"/>
    </row>
    <row r="19" spans="1:3" x14ac:dyDescent="0.3">
      <c r="A19" s="813" t="s">
        <v>513</v>
      </c>
      <c r="B19" s="813">
        <v>7046781</v>
      </c>
      <c r="C19" s="812"/>
    </row>
    <row r="20" spans="1:3" x14ac:dyDescent="0.3">
      <c r="A20" s="813" t="s">
        <v>563</v>
      </c>
      <c r="B20" s="813">
        <v>-3301713.91</v>
      </c>
      <c r="C20" s="815"/>
    </row>
    <row r="21" spans="1:3" x14ac:dyDescent="0.3">
      <c r="A21" s="813" t="s">
        <v>514</v>
      </c>
      <c r="B21" s="813">
        <v>252246</v>
      </c>
      <c r="C21" s="815"/>
    </row>
    <row r="22" spans="1:3" x14ac:dyDescent="0.3">
      <c r="A22" s="811" t="s">
        <v>279</v>
      </c>
      <c r="B22" s="814">
        <v>24917611.954120208</v>
      </c>
      <c r="C22" s="812"/>
    </row>
    <row r="23" spans="1:3" x14ac:dyDescent="0.3">
      <c r="A23" s="813" t="s">
        <v>583</v>
      </c>
      <c r="B23" s="813">
        <v>-625967.31000000006</v>
      </c>
      <c r="C23" s="812"/>
    </row>
    <row r="24" spans="1:3" x14ac:dyDescent="0.3">
      <c r="A24" s="813" t="s">
        <v>526</v>
      </c>
      <c r="B24" s="813">
        <v>1034927.2727272724</v>
      </c>
      <c r="C24" s="812"/>
    </row>
    <row r="25" spans="1:3" x14ac:dyDescent="0.3">
      <c r="A25" s="813" t="s">
        <v>515</v>
      </c>
      <c r="B25" s="816">
        <v>-8240740.1700000167</v>
      </c>
      <c r="C25" s="812"/>
    </row>
    <row r="26" spans="1:3" x14ac:dyDescent="0.3">
      <c r="A26" s="811" t="s">
        <v>280</v>
      </c>
      <c r="B26" s="812"/>
      <c r="C26" s="814">
        <v>17085831.746847466</v>
      </c>
    </row>
    <row r="27" spans="1:3" x14ac:dyDescent="0.3">
      <c r="A27" s="811" t="s">
        <v>281</v>
      </c>
      <c r="B27" s="812"/>
      <c r="C27" s="812"/>
    </row>
    <row r="28" spans="1:3" x14ac:dyDescent="0.3">
      <c r="A28" s="813" t="s">
        <v>564</v>
      </c>
      <c r="B28" s="813">
        <v>-39335575.999999881</v>
      </c>
      <c r="C28" s="812"/>
    </row>
    <row r="29" spans="1:3" x14ac:dyDescent="0.3">
      <c r="A29" s="813" t="s">
        <v>565</v>
      </c>
      <c r="B29" s="816">
        <v>15466042</v>
      </c>
      <c r="C29" s="812"/>
    </row>
    <row r="30" spans="1:3" x14ac:dyDescent="0.3">
      <c r="A30" s="811" t="s">
        <v>282</v>
      </c>
      <c r="B30" s="812"/>
      <c r="C30" s="814">
        <v>-23869533.999999881</v>
      </c>
    </row>
    <row r="31" spans="1:3" x14ac:dyDescent="0.3">
      <c r="A31" s="811" t="s">
        <v>283</v>
      </c>
      <c r="B31" s="812"/>
      <c r="C31" s="812"/>
    </row>
    <row r="32" spans="1:3" x14ac:dyDescent="0.3">
      <c r="A32" s="813" t="s">
        <v>511</v>
      </c>
      <c r="B32" s="812"/>
      <c r="C32" s="812"/>
    </row>
    <row r="33" spans="1:4" x14ac:dyDescent="0.3">
      <c r="A33" s="813" t="s">
        <v>284</v>
      </c>
      <c r="B33" s="813">
        <v>0</v>
      </c>
      <c r="C33" s="812"/>
    </row>
    <row r="34" spans="1:4" x14ac:dyDescent="0.3">
      <c r="A34" s="813" t="s">
        <v>527</v>
      </c>
      <c r="B34" s="816">
        <v>0</v>
      </c>
      <c r="C34" s="812"/>
    </row>
    <row r="35" spans="1:4" x14ac:dyDescent="0.3">
      <c r="A35" s="811" t="s">
        <v>285</v>
      </c>
      <c r="B35" s="812"/>
      <c r="C35" s="814">
        <v>0</v>
      </c>
    </row>
    <row r="36" spans="1:4" x14ac:dyDescent="0.3">
      <c r="A36" s="817" t="s">
        <v>286</v>
      </c>
      <c r="B36" s="812"/>
      <c r="C36" s="813">
        <v>-6783702.2531524152</v>
      </c>
    </row>
    <row r="37" spans="1:4" x14ac:dyDescent="0.3">
      <c r="A37" s="817" t="s">
        <v>287</v>
      </c>
      <c r="B37" s="818"/>
      <c r="C37" s="813">
        <v>31889567.989999998</v>
      </c>
    </row>
    <row r="38" spans="1:4" ht="15" thickBot="1" x14ac:dyDescent="0.35">
      <c r="A38" s="811" t="s">
        <v>288</v>
      </c>
      <c r="B38" s="817"/>
      <c r="C38" s="819">
        <v>25105865.736847583</v>
      </c>
    </row>
    <row r="39" spans="1:4" ht="15" thickTop="1" x14ac:dyDescent="0.3">
      <c r="A39" s="820"/>
      <c r="B39" s="821"/>
      <c r="C39" s="821"/>
      <c r="D39" s="676"/>
    </row>
    <row r="40" spans="1:4" x14ac:dyDescent="0.3">
      <c r="A40" s="789"/>
      <c r="B40" s="789"/>
      <c r="C40" s="790">
        <v>0</v>
      </c>
    </row>
    <row r="41" spans="1:4" x14ac:dyDescent="0.3">
      <c r="C41" s="676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26</vt:i4>
      </vt:variant>
    </vt:vector>
  </HeadingPairs>
  <TitlesOfParts>
    <vt:vector size="54" baseType="lpstr">
      <vt:lpstr>D11-ARR-FY24</vt:lpstr>
      <vt:lpstr>D21-ERC-FY24</vt:lpstr>
      <vt:lpstr>D21-ERC-FY24-P1</vt:lpstr>
      <vt:lpstr>D21-ERC-FY24-P24</vt:lpstr>
      <vt:lpstr>D21-ERC-FY24-P4</vt:lpstr>
      <vt:lpstr>D21-ERC-FY24-P5</vt:lpstr>
      <vt:lpstr>D24-F24-NTI</vt:lpstr>
      <vt:lpstr>D27 FY24-GRANTS</vt:lpstr>
      <vt:lpstr>D31-FY24-PPURCHASE</vt:lpstr>
      <vt:lpstr>D34 FY24 O&amp;M</vt:lpstr>
      <vt:lpstr>D35 FY24 DEPRECIATION</vt:lpstr>
      <vt:lpstr>D35 FY24 DEPR</vt:lpstr>
      <vt:lpstr>D36 FY24 I&amp;F</vt:lpstr>
      <vt:lpstr>D37 FY24 IWC</vt:lpstr>
      <vt:lpstr>D38 FY24 ROI</vt:lpstr>
      <vt:lpstr>D41 FY24 CAPEX</vt:lpstr>
      <vt:lpstr>D42 FY24 FA</vt:lpstr>
      <vt:lpstr>D43 FY24 GEN</vt:lpstr>
      <vt:lpstr>D62 FY24 LOSS</vt:lpstr>
      <vt:lpstr>D61 FY24 PERF</vt:lpstr>
      <vt:lpstr>D71 FY24 SALES P1</vt:lpstr>
      <vt:lpstr>D71 FY24 SALES P2_3</vt:lpstr>
      <vt:lpstr>D71 FY24 SALES P4</vt:lpstr>
      <vt:lpstr>D71 FY24 SALES P5</vt:lpstr>
      <vt:lpstr>D73 FY24 Coll. Effy</vt:lpstr>
      <vt:lpstr>DP&amp;L FY24</vt:lpstr>
      <vt:lpstr>D BS FY24</vt:lpstr>
      <vt:lpstr>Cash Flow (AS)</vt:lpstr>
      <vt:lpstr>'D BS FY24'!Print_Area</vt:lpstr>
      <vt:lpstr>'D11-ARR-FY24'!Print_Area</vt:lpstr>
      <vt:lpstr>'D21-ERC-FY24'!Print_Area</vt:lpstr>
      <vt:lpstr>'D21-ERC-FY24-P1'!Print_Area</vt:lpstr>
      <vt:lpstr>'D21-ERC-FY24-P24'!Print_Area</vt:lpstr>
      <vt:lpstr>'D21-ERC-FY24-P4'!Print_Area</vt:lpstr>
      <vt:lpstr>'D21-ERC-FY24-P5'!Print_Area</vt:lpstr>
      <vt:lpstr>'D24-F24-NTI'!Print_Area</vt:lpstr>
      <vt:lpstr>'D27 FY24-GRANTS'!Print_Area</vt:lpstr>
      <vt:lpstr>'D31-FY24-PPURCHASE'!Print_Area</vt:lpstr>
      <vt:lpstr>'D34 FY24 O&amp;M'!Print_Area</vt:lpstr>
      <vt:lpstr>'D35 FY24 DEPRECIATION'!Print_Area</vt:lpstr>
      <vt:lpstr>'D36 FY24 I&amp;F'!Print_Area</vt:lpstr>
      <vt:lpstr>'D37 FY24 IWC'!Print_Area</vt:lpstr>
      <vt:lpstr>'D38 FY24 ROI'!Print_Area</vt:lpstr>
      <vt:lpstr>'D41 FY24 CAPEX'!Print_Area</vt:lpstr>
      <vt:lpstr>'D42 FY24 FA'!Print_Area</vt:lpstr>
      <vt:lpstr>'D43 FY24 GEN'!Print_Area</vt:lpstr>
      <vt:lpstr>'D61 FY24 PERF'!Print_Area</vt:lpstr>
      <vt:lpstr>'D62 FY24 LOSS'!Print_Area</vt:lpstr>
      <vt:lpstr>'D71 FY24 SALES P1'!Print_Area</vt:lpstr>
      <vt:lpstr>'D71 FY24 SALES P2_3'!Print_Area</vt:lpstr>
      <vt:lpstr>'D71 FY24 SALES P4'!Print_Area</vt:lpstr>
      <vt:lpstr>'D71 FY24 SALES P5'!Print_Area</vt:lpstr>
      <vt:lpstr>'D73 FY24 Coll. Effy'!Print_Area</vt:lpstr>
      <vt:lpstr>'DP&amp;L FY24'!Print_Area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Rahul Raj</cp:lastModifiedBy>
  <cp:lastPrinted>2024-12-30T09:03:57Z</cp:lastPrinted>
  <dcterms:created xsi:type="dcterms:W3CDTF">2015-05-16T10:28:16Z</dcterms:created>
  <dcterms:modified xsi:type="dcterms:W3CDTF">2024-12-31T09:25:52Z</dcterms:modified>
</cp:coreProperties>
</file>